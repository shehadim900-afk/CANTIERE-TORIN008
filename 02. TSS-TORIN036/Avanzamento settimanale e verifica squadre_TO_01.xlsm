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7" codeName="{00000000-0000-0000-0000-0000000000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italgasspa.sharepoint.com/sites/TO1-CdS/Documenti condivisi/50. SCAMBIO FILE/IMPRESE/CANALE/TSS-TORIN036/"/>
    </mc:Choice>
  </mc:AlternateContent>
  <xr:revisionPtr revIDLastSave="20" documentId="13_ncr:1_{CB8ACBDB-82DA-6340-9F6F-A218B63D8362}" xr6:coauthVersionLast="47" xr6:coauthVersionMax="47" xr10:uidLastSave="{31FB3892-4F09-D04D-8B25-6DC17953A595}"/>
  <bookViews>
    <workbookView xWindow="28800" yWindow="600" windowWidth="38400" windowHeight="21000" firstSheet="3" activeTab="3" xr2:uid="{8BF285A5-516A-7146-9494-047531E680A7}"/>
  </bookViews>
  <sheets>
    <sheet name="Dashboard" sheetId="2" r:id="rId1"/>
    <sheet name="Registro operativo" sheetId="5" r:id="rId2"/>
    <sheet name="Avanzamento settimanale" sheetId="12" r:id="rId3"/>
    <sheet name="Contabilità TSS-TORIN036" sheetId="10" r:id="rId4"/>
    <sheet name="Foglio1" sheetId="13" r:id="rId5"/>
    <sheet name="Dati" sheetId="3" state="hidden" r:id="rId6"/>
    <sheet name="Project Calendar 2026" sheetId="8" state="hidden" r:id="rId7"/>
  </sheets>
  <definedNames>
    <definedName name="_xlnm._FilterDatabase" localSheetId="5" hidden="1">Dati!#REF!</definedName>
    <definedName name="_xlnm._FilterDatabase" localSheetId="6" hidden="1">'Project Calendar 2026'!$A$2:$F$202</definedName>
    <definedName name="_xlnm._FilterDatabase" localSheetId="1" hidden="1">'Registro operativo'!$A$2:$S$55</definedName>
    <definedName name="_xleta.AVERAGE" hidden="1" xlm="1">#NAME?</definedName>
    <definedName name="_xleta.IF" hidden="1" xlm="1">#NAME?</definedName>
    <definedName name="_xleta.IFERROR" hidden="1" xlm="1">#NAME?</definedName>
    <definedName name="_xleta.OR" hidden="1" xlm="1">#NAME?</definedName>
    <definedName name="_xleta.SUM" hidden="1" xlm="1">#NAME?</definedName>
    <definedName name="_xlpm.riga" hidden="1" xlm="1">#NAME?</definedName>
    <definedName name="_xlpm.sett" hidden="1" xlm="1">#NAME?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T25" i="10" l="1"/>
  <c r="W21" i="10"/>
  <c r="X24" i="10"/>
  <c r="Y21" i="10"/>
  <c r="O25" i="10"/>
  <c r="K23" i="10"/>
  <c r="K22" i="10"/>
  <c r="K21" i="10"/>
  <c r="V21" i="10"/>
  <c r="I20" i="10" l="1"/>
  <c r="I18" i="10"/>
  <c r="I13" i="10"/>
  <c r="I12" i="10"/>
  <c r="Y24" i="10"/>
  <c r="E9" i="12" l="1"/>
  <c r="F9" i="12" s="1"/>
  <c r="B10" i="5"/>
  <c r="C10" i="5" s="1"/>
  <c r="N9" i="5"/>
  <c r="P9" i="5" s="1"/>
  <c r="S9" i="5"/>
  <c r="N10" i="5"/>
  <c r="P10" i="5" s="1"/>
  <c r="S10" i="5"/>
  <c r="B9" i="5"/>
  <c r="C9" i="5" s="1"/>
  <c r="C37" i="2" a="1"/>
  <c r="C37" i="2" s="1"/>
  <c r="C35" i="2" a="1"/>
  <c r="C35" i="2" s="1"/>
  <c r="C36" i="2" a="1"/>
  <c r="C36" i="2" s="1"/>
  <c r="C30" i="2" a="1"/>
  <c r="C30" i="2" s="1"/>
  <c r="C31" i="2" a="1"/>
  <c r="C31" i="2" s="1"/>
  <c r="C32" i="2" a="1"/>
  <c r="C32" i="2" s="1"/>
  <c r="C33" i="2" a="1"/>
  <c r="C33" i="2" s="1"/>
  <c r="C34" i="2" a="1"/>
  <c r="C34" i="2" s="1"/>
  <c r="M13" i="10"/>
  <c r="Q12" i="10"/>
  <c r="B5" i="3"/>
  <c r="B6" i="3"/>
  <c r="B7" i="3"/>
  <c r="B8" i="3"/>
  <c r="B9" i="3"/>
  <c r="B10" i="3"/>
  <c r="B11" i="3"/>
  <c r="B12" i="3"/>
  <c r="N4" i="5"/>
  <c r="N5" i="5"/>
  <c r="L2" i="3"/>
  <c r="S8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3" i="5"/>
  <c r="S7" i="5"/>
  <c r="S6" i="5"/>
  <c r="S4" i="5"/>
  <c r="S5" i="5"/>
  <c r="E10" i="12"/>
  <c r="F10" i="12" s="1"/>
  <c r="E11" i="12"/>
  <c r="F11" i="12" s="1"/>
  <c r="E12" i="12"/>
  <c r="F12" i="12" s="1"/>
  <c r="E13" i="12"/>
  <c r="F13" i="12" s="1"/>
  <c r="E14" i="12"/>
  <c r="F14" i="12" s="1"/>
  <c r="E15" i="12"/>
  <c r="F15" i="12" s="1"/>
  <c r="E16" i="12"/>
  <c r="F16" i="12" s="1"/>
  <c r="E17" i="12"/>
  <c r="F17" i="12" s="1"/>
  <c r="G6" i="2" a="1"/>
  <c r="G6" i="2" l="1"/>
  <c r="R10" i="5"/>
  <c r="R9" i="5"/>
  <c r="K10" i="10"/>
  <c r="M10" i="10"/>
  <c r="O10" i="10"/>
  <c r="Q10" i="10"/>
  <c r="R10" i="10"/>
  <c r="U10" i="10" s="1"/>
  <c r="K11" i="10"/>
  <c r="M11" i="10"/>
  <c r="O11" i="10"/>
  <c r="Q11" i="10"/>
  <c r="R11" i="10"/>
  <c r="U11" i="10"/>
  <c r="K12" i="10"/>
  <c r="M12" i="10"/>
  <c r="O12" i="10"/>
  <c r="U12" i="10"/>
  <c r="K13" i="10"/>
  <c r="O13" i="10"/>
  <c r="Q13" i="10"/>
  <c r="R13" i="10"/>
  <c r="U13" i="10" s="1"/>
  <c r="K14" i="10"/>
  <c r="M14" i="10"/>
  <c r="Q14" i="10" s="1"/>
  <c r="O14" i="10"/>
  <c r="R14" i="10"/>
  <c r="U14" i="10" s="1"/>
  <c r="K15" i="10"/>
  <c r="M15" i="10"/>
  <c r="O15" i="10"/>
  <c r="Q15" i="10"/>
  <c r="R15" i="10"/>
  <c r="U15" i="10" s="1"/>
  <c r="K16" i="10"/>
  <c r="M16" i="10"/>
  <c r="O16" i="10"/>
  <c r="Q16" i="10"/>
  <c r="R16" i="10"/>
  <c r="U16" i="10" s="1"/>
  <c r="K17" i="10"/>
  <c r="M17" i="10"/>
  <c r="O17" i="10"/>
  <c r="Q17" i="10"/>
  <c r="R17" i="10"/>
  <c r="U17" i="10" s="1"/>
  <c r="K18" i="10"/>
  <c r="M18" i="10"/>
  <c r="O18" i="10"/>
  <c r="Q18" i="10"/>
  <c r="R18" i="10"/>
  <c r="U18" i="10" s="1"/>
  <c r="K19" i="10"/>
  <c r="M19" i="10"/>
  <c r="O19" i="10"/>
  <c r="Q19" i="10"/>
  <c r="R19" i="10"/>
  <c r="U19" i="10" s="1"/>
  <c r="K20" i="10"/>
  <c r="M20" i="10"/>
  <c r="O20" i="10"/>
  <c r="Q20" i="10"/>
  <c r="R20" i="10"/>
  <c r="U20" i="10" s="1"/>
  <c r="K24" i="10"/>
  <c r="M24" i="10"/>
  <c r="O24" i="10"/>
  <c r="Q24" i="10"/>
  <c r="R24" i="10"/>
  <c r="U24" i="10" s="1"/>
  <c r="S10" i="10" l="1"/>
  <c r="T10" i="10" s="1"/>
  <c r="S19" i="10"/>
  <c r="S16" i="10"/>
  <c r="T16" i="10" s="1"/>
  <c r="X25" i="10"/>
  <c r="S12" i="10"/>
  <c r="T12" i="10" s="1"/>
  <c r="Q25" i="10"/>
  <c r="S17" i="10"/>
  <c r="T17" i="10" s="1"/>
  <c r="S13" i="10"/>
  <c r="T13" i="10" s="1"/>
  <c r="S24" i="10"/>
  <c r="T24" i="10" s="1"/>
  <c r="S18" i="10"/>
  <c r="T18" i="10" s="1"/>
  <c r="S15" i="10"/>
  <c r="T15" i="10" s="1"/>
  <c r="T19" i="10"/>
  <c r="S20" i="10"/>
  <c r="T20" i="10" s="1"/>
  <c r="S14" i="10"/>
  <c r="T14" i="10" s="1"/>
  <c r="S11" i="10"/>
  <c r="T11" i="10" s="1"/>
  <c r="W24" i="10"/>
  <c r="M25" i="10"/>
  <c r="V10" i="10" l="1"/>
  <c r="Y10" i="10" s="1"/>
  <c r="S25" i="10"/>
  <c r="V16" i="10"/>
  <c r="W10" i="10" l="1"/>
  <c r="V25" i="10"/>
  <c r="Y16" i="10"/>
  <c r="W16" i="10"/>
  <c r="W25" i="10" l="1"/>
  <c r="Y25" i="10"/>
  <c r="B2" i="3"/>
  <c r="K2" i="3" s="1"/>
  <c r="K9" i="3"/>
  <c r="K10" i="3"/>
  <c r="K11" i="3"/>
  <c r="K12" i="3"/>
  <c r="B13" i="3"/>
  <c r="K13" i="3" s="1"/>
  <c r="B14" i="3"/>
  <c r="K14" i="3" s="1"/>
  <c r="B15" i="3"/>
  <c r="K15" i="3" s="1"/>
  <c r="B16" i="3"/>
  <c r="K16" i="3" s="1"/>
  <c r="B17" i="3"/>
  <c r="K17" i="3" s="1"/>
  <c r="B18" i="3"/>
  <c r="K18" i="3" s="1"/>
  <c r="B19" i="3"/>
  <c r="K19" i="3" s="1"/>
  <c r="B20" i="3"/>
  <c r="K20" i="3" s="1"/>
  <c r="B21" i="3"/>
  <c r="K21" i="3" s="1"/>
  <c r="B22" i="3"/>
  <c r="K22" i="3" s="1"/>
  <c r="B23" i="3"/>
  <c r="K23" i="3" s="1"/>
  <c r="B24" i="3"/>
  <c r="K24" i="3" s="1"/>
  <c r="B25" i="3"/>
  <c r="K25" i="3" s="1"/>
  <c r="B26" i="3"/>
  <c r="K26" i="3" s="1"/>
  <c r="B27" i="3"/>
  <c r="K27" i="3" s="1"/>
  <c r="B28" i="3"/>
  <c r="K28" i="3" s="1"/>
  <c r="B29" i="3"/>
  <c r="K29" i="3" s="1"/>
  <c r="B30" i="3"/>
  <c r="K30" i="3" s="1"/>
  <c r="B3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2" i="3"/>
  <c r="E2" i="3" s="1"/>
  <c r="E3" i="3" l="1"/>
  <c r="E4" i="3" s="1"/>
  <c r="E5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F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2" i="3"/>
  <c r="B4" i="3"/>
  <c r="M30" i="3" l="1"/>
  <c r="L30" i="3"/>
  <c r="M29" i="3"/>
  <c r="L29" i="3"/>
  <c r="M28" i="3"/>
  <c r="L28" i="3"/>
  <c r="M27" i="3"/>
  <c r="L27" i="3"/>
  <c r="M26" i="3"/>
  <c r="L26" i="3"/>
  <c r="M25" i="3"/>
  <c r="L25" i="3"/>
  <c r="M24" i="3"/>
  <c r="L24" i="3"/>
  <c r="M23" i="3"/>
  <c r="L23" i="3"/>
  <c r="M22" i="3"/>
  <c r="L22" i="3"/>
  <c r="M21" i="3"/>
  <c r="L21" i="3"/>
  <c r="M20" i="3"/>
  <c r="L20" i="3"/>
  <c r="M19" i="3"/>
  <c r="L19" i="3"/>
  <c r="L18" i="3"/>
  <c r="L17" i="3"/>
  <c r="L16" i="3"/>
  <c r="M15" i="3"/>
  <c r="L15" i="3"/>
  <c r="M14" i="3"/>
  <c r="L14" i="3"/>
  <c r="L13" i="3"/>
  <c r="L12" i="3"/>
  <c r="L11" i="3"/>
  <c r="L10" i="3"/>
  <c r="L9" i="3"/>
  <c r="L8" i="3"/>
  <c r="K8" i="3" s="1"/>
  <c r="L7" i="3"/>
  <c r="K7" i="3" s="1"/>
  <c r="L6" i="3"/>
  <c r="K6" i="3" s="1"/>
  <c r="L5" i="3"/>
  <c r="K5" i="3" s="1"/>
  <c r="L4" i="3"/>
  <c r="K4" i="3" s="1"/>
  <c r="L3" i="3"/>
  <c r="K3" i="3" s="1"/>
  <c r="E6" i="3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C2" i="3"/>
  <c r="B6" i="5"/>
  <c r="C3" i="3" l="1"/>
  <c r="C4" i="3" s="1"/>
  <c r="N6" i="5"/>
  <c r="N7" i="5"/>
  <c r="N8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B7" i="5"/>
  <c r="C7" i="5" s="1"/>
  <c r="B8" i="5"/>
  <c r="C8" i="5" s="1"/>
  <c r="B11" i="5"/>
  <c r="C11" i="5" s="1"/>
  <c r="B12" i="5"/>
  <c r="C12" i="5" s="1"/>
  <c r="B13" i="5"/>
  <c r="C13" i="5" s="1"/>
  <c r="B14" i="5"/>
  <c r="C14" i="5" s="1"/>
  <c r="B15" i="5"/>
  <c r="C15" i="5" s="1"/>
  <c r="B16" i="5"/>
  <c r="C16" i="5" s="1"/>
  <c r="B17" i="5"/>
  <c r="C17" i="5" s="1"/>
  <c r="B18" i="5"/>
  <c r="C18" i="5" s="1"/>
  <c r="B19" i="5"/>
  <c r="C19" i="5" s="1"/>
  <c r="B20" i="5"/>
  <c r="C20" i="5" s="1"/>
  <c r="B21" i="5"/>
  <c r="C21" i="5" s="1"/>
  <c r="B22" i="5"/>
  <c r="C22" i="5" s="1"/>
  <c r="B23" i="5"/>
  <c r="C23" i="5" s="1"/>
  <c r="B24" i="5"/>
  <c r="C24" i="5" s="1"/>
  <c r="B25" i="5"/>
  <c r="C25" i="5" s="1"/>
  <c r="B26" i="5"/>
  <c r="C26" i="5" s="1"/>
  <c r="B27" i="5"/>
  <c r="C27" i="5" s="1"/>
  <c r="B28" i="5"/>
  <c r="C28" i="5" s="1"/>
  <c r="B29" i="5"/>
  <c r="C29" i="5" s="1"/>
  <c r="B30" i="5"/>
  <c r="C30" i="5" s="1"/>
  <c r="B31" i="5"/>
  <c r="C31" i="5" s="1"/>
  <c r="B32" i="5"/>
  <c r="C32" i="5" s="1"/>
  <c r="B33" i="5"/>
  <c r="C33" i="5" s="1"/>
  <c r="B34" i="5"/>
  <c r="C34" i="5" s="1"/>
  <c r="B35" i="5"/>
  <c r="C35" i="5" s="1"/>
  <c r="B36" i="5"/>
  <c r="C36" i="5" s="1"/>
  <c r="B37" i="5"/>
  <c r="C37" i="5" s="1"/>
  <c r="B38" i="5"/>
  <c r="C38" i="5" s="1"/>
  <c r="B39" i="5"/>
  <c r="C39" i="5" s="1"/>
  <c r="B40" i="5"/>
  <c r="C40" i="5" s="1"/>
  <c r="B41" i="5"/>
  <c r="C41" i="5" s="1"/>
  <c r="B42" i="5"/>
  <c r="C42" i="5" s="1"/>
  <c r="B43" i="5"/>
  <c r="C43" i="5" s="1"/>
  <c r="B44" i="5"/>
  <c r="C44" i="5" s="1"/>
  <c r="B45" i="5"/>
  <c r="C45" i="5" s="1"/>
  <c r="B46" i="5"/>
  <c r="C46" i="5" s="1"/>
  <c r="B47" i="5"/>
  <c r="C47" i="5" s="1"/>
  <c r="B48" i="5"/>
  <c r="C48" i="5" s="1"/>
  <c r="B49" i="5"/>
  <c r="C49" i="5" s="1"/>
  <c r="B50" i="5"/>
  <c r="C50" i="5" s="1"/>
  <c r="B51" i="5"/>
  <c r="C51" i="5" s="1"/>
  <c r="B52" i="5"/>
  <c r="C52" i="5" s="1"/>
  <c r="B53" i="5"/>
  <c r="C53" i="5" s="1"/>
  <c r="B54" i="5"/>
  <c r="C54" i="5" s="1"/>
  <c r="B55" i="5"/>
  <c r="C55" i="5" s="1"/>
  <c r="R6" i="5"/>
  <c r="P7" i="5"/>
  <c r="M12" i="3" s="1"/>
  <c r="P3" i="5"/>
  <c r="C5" i="3" l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B4" i="5"/>
  <c r="C4" i="5" s="1"/>
  <c r="B5" i="5"/>
  <c r="C5" i="5" s="1"/>
  <c r="C6" i="5"/>
  <c r="B3" i="5"/>
  <c r="C3" i="5" l="1"/>
  <c r="P8" i="5"/>
  <c r="M13" i="3" s="1"/>
  <c r="P11" i="5"/>
  <c r="M16" i="3" s="1"/>
  <c r="P12" i="5"/>
  <c r="P13" i="5"/>
  <c r="M18" i="3" s="1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6" i="5"/>
  <c r="P4" i="5"/>
  <c r="M6" i="3" l="1"/>
  <c r="M17" i="3"/>
  <c r="M2" i="3"/>
  <c r="M9" i="3"/>
  <c r="M4" i="3"/>
  <c r="M11" i="3"/>
  <c r="M7" i="3"/>
  <c r="M8" i="3"/>
  <c r="M5" i="3"/>
  <c r="P5" i="5"/>
  <c r="M3" i="3" l="1"/>
  <c r="M10" i="3"/>
  <c r="B6" i="2"/>
  <c r="C6" i="2"/>
  <c r="D6" i="2"/>
  <c r="E6" i="2"/>
  <c r="F6" i="2"/>
  <c r="A6" i="2"/>
  <c r="J6" i="2" s="1"/>
  <c r="C38" i="2" l="1"/>
  <c r="R11" i="5" l="1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" i="5" l="1"/>
  <c r="R8" i="5"/>
  <c r="R7" i="5"/>
  <c r="R4" i="5"/>
  <c r="R3" i="5"/>
  <c r="H6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<sst xmlns="http://schemas.openxmlformats.org/spreadsheetml/2006/main" count="907" uniqueCount="219">
  <si>
    <t>DASHBOARD DI CONTROLLO: PRESENZE CANTIERE E AVANZAMENTO LAVORI</t>
  </si>
  <si>
    <t>Monitoraggio Avanzato di Gestione Presenza Imprese</t>
  </si>
  <si>
    <t>POSA RETE</t>
  </si>
  <si>
    <t>COLLEGAMENTI RETE (cad)</t>
  </si>
  <si>
    <t>MESSE IN GAS (mt)</t>
  </si>
  <si>
    <t>POSA IDU (mt)</t>
  </si>
  <si>
    <t>RIMOZIONI RETE</t>
  </si>
  <si>
    <t>RIPRISTINI</t>
  </si>
  <si>
    <t>GIORNI EFFETTIVI LAVORATI</t>
  </si>
  <si>
    <t>GIORNI DI STOP FORZA MAGGIORE</t>
  </si>
  <si>
    <t>PRODUZIONE MEDIA GIORNALIERA (Posa)</t>
  </si>
  <si>
    <t xml:space="preserve"> </t>
  </si>
  <si>
    <t>CAUSA PRINCIPALE DI BLOCCO</t>
  </si>
  <si>
    <t>CONTEGGIO BLOCCHI</t>
  </si>
  <si>
    <t>Meteo avverso</t>
  </si>
  <si>
    <t>Mancato Appr. Materiali</t>
  </si>
  <si>
    <t>Mancanza Documentazione / Permessi</t>
  </si>
  <si>
    <t>Mancanza permessi privati</t>
  </si>
  <si>
    <t>Mancanza presidio</t>
  </si>
  <si>
    <t>Mancanza Squadre</t>
  </si>
  <si>
    <t>Interferenze sottoservizi non censiti</t>
  </si>
  <si>
    <t>Sospensione per eventi o festività locali</t>
  </si>
  <si>
    <t>TOTALE GENERALE</t>
  </si>
  <si>
    <t>N. Settimana (menù a tendina)</t>
  </si>
  <si>
    <t>Data Inizio</t>
  </si>
  <si>
    <t>Data Fine</t>
  </si>
  <si>
    <t>Impresa</t>
  </si>
  <si>
    <t>Indirizzo</t>
  </si>
  <si>
    <t>Tipologia Tubazione</t>
  </si>
  <si>
    <t>Squadre operative</t>
  </si>
  <si>
    <t>Posa rete (mt)</t>
  </si>
  <si>
    <t>Collegamenti rete (cad)</t>
  </si>
  <si>
    <t>Messe in gas rete (mt)</t>
  </si>
  <si>
    <t>Posa IDU (mt)</t>
  </si>
  <si>
    <t>Rimozione rete (mt)</t>
  </si>
  <si>
    <t>Ripristini (mt)</t>
  </si>
  <si>
    <t>GG Lavorabili
Teorici</t>
  </si>
  <si>
    <t>GG Effettivi
Lavorati</t>
  </si>
  <si>
    <t>GG di Stop
(Persi)</t>
  </si>
  <si>
    <t>Causa Principale del Blocco
(Menù a Tendina)</t>
  </si>
  <si>
    <t>Disponibilità
Settimanale (%)</t>
  </si>
  <si>
    <t>Resa di Produzione (mt posa rete/squadra)</t>
  </si>
  <si>
    <t>NOTE</t>
  </si>
  <si>
    <t>Week 31</t>
  </si>
  <si>
    <t>Canale S.p.A.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</si>
  <si>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</si>
  <si>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</si>
  <si>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</si>
  <si>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</si>
  <si>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</si>
  <si>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</si>
  <si>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</si>
  <si>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</si>
  <si>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</si>
  <si>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</si>
  <si>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</si>
  <si>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</si>
  <si>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</si>
  <si>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</si>
  <si>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</si>
  <si>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</si>
  <si>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</si>
  <si>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</si>
  <si>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</si>
  <si>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</si>
  <si>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</si>
  <si>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Week 53</t>
  </si>
  <si>
    <t>RIUNIONE DI AVANZAMENTO SETTIMANALE</t>
  </si>
  <si>
    <t>Impresa esecutrice: Astone Costruzioni generali S.p.A.</t>
  </si>
  <si>
    <t>CONTRATTO</t>
  </si>
  <si>
    <t>Direttore dei Lavori</t>
  </si>
  <si>
    <t>RDC POSA</t>
  </si>
  <si>
    <t>Rif.to REALIZ</t>
  </si>
  <si>
    <t>Arch.Giovanni Albera</t>
  </si>
  <si>
    <t>Lotto di Esecuzione</t>
  </si>
  <si>
    <t>TSS-TORIN036</t>
  </si>
  <si>
    <t>Lotto</t>
  </si>
  <si>
    <t>Impresa Esecutrice</t>
  </si>
  <si>
    <t>Week di riferimento</t>
  </si>
  <si>
    <t>Richiesta presidio</t>
  </si>
  <si>
    <t>Note avanzamento lavori</t>
  </si>
  <si>
    <t xml:space="preserve">  </t>
  </si>
  <si>
    <t xml:space="preserve">DASHBOARD DI CONTROLLO:  CONTABILITÀ CONDIVISA
</t>
  </si>
  <si>
    <t>Impresa esecutrice: Canale S.p.A.</t>
  </si>
  <si>
    <t>Arch. Di Marco Alessandro</t>
  </si>
  <si>
    <t>RDC RIPR</t>
  </si>
  <si>
    <t>SEZIONE B
A CURA DIREZIONE LAVORI</t>
  </si>
  <si>
    <t>SAL_01 - Settembre 2026</t>
  </si>
  <si>
    <t>SAL_02 - Ottobre 2026</t>
  </si>
  <si>
    <t>SAL_03 - Novembre 2026</t>
  </si>
  <si>
    <t>STATO AVANZAMENTO LAVORI</t>
  </si>
  <si>
    <t>RESIDUO LAVORI SU RDC</t>
  </si>
  <si>
    <t>ART.</t>
  </si>
  <si>
    <t>DESCRIZIONE PREZZO</t>
  </si>
  <si>
    <t>Riga Contratto</t>
  </si>
  <si>
    <t>Riga RdC</t>
  </si>
  <si>
    <t>Descrizione Riga RdC</t>
  </si>
  <si>
    <t>n. Ordine</t>
  </si>
  <si>
    <t>U. M.</t>
  </si>
  <si>
    <t>QUANTITÀ</t>
  </si>
  <si>
    <t>PREZZO UNITARIO</t>
  </si>
  <si>
    <t>IMPORTO TOTALE</t>
  </si>
  <si>
    <t>quantità</t>
  </si>
  <si>
    <t>importo</t>
  </si>
  <si>
    <t>Impegnato ART.</t>
  </si>
  <si>
    <t>Impegnato ART (%)</t>
  </si>
  <si>
    <t>Impegnato ODS</t>
  </si>
  <si>
    <t>Importo residuo per ODS</t>
  </si>
  <si>
    <t>importi totali per ODS</t>
  </si>
  <si>
    <t xml:space="preserve">Totale impegnato ODS (%) </t>
  </si>
  <si>
    <t>PS.01.01.02</t>
  </si>
  <si>
    <t>TSS_POSA SOSTITUZIONE TUBAZIONE con utilizzo materiale di tipo A riciclato &amp; riutilizzo TRS materiale di tipo B</t>
  </si>
  <si>
    <t>Sostituzione rete</t>
  </si>
  <si>
    <t>m</t>
  </si>
  <si>
    <t>PS.01.01.03</t>
  </si>
  <si>
    <t>RIMOZIONE Tubazione esistente con riutilizzo TRS materiale di tipo B</t>
  </si>
  <si>
    <t>PS.01.01.05</t>
  </si>
  <si>
    <t>Svp RETE 2 mancato riutilizzo TRS materiale di tipo B &amp; mancato utilizzo riciclato per materiali A e B</t>
  </si>
  <si>
    <t>PS.06.01.01</t>
  </si>
  <si>
    <t>Monitoraggio Rete</t>
  </si>
  <si>
    <t>PS.01.01.13</t>
  </si>
  <si>
    <t>Collegamento  in gas in linea per tubazioni di qualsiasi materiale con diametro maggiore di 125 mm (&gt; DE 125)</t>
  </si>
  <si>
    <t>cad</t>
  </si>
  <si>
    <t>PS.01.01.14</t>
  </si>
  <si>
    <t>Collegamento in gas a Ti per tubazioni di qualsiasi materiale con diametro maggiore di 125 mm (&gt; DE 125)</t>
  </si>
  <si>
    <t>PS.01.02.01</t>
  </si>
  <si>
    <t xml:space="preserve">COLLEGAMENTO IDU </t>
  </si>
  <si>
    <t>Sostituzione IDU</t>
  </si>
  <si>
    <t>PS.01.02.03</t>
  </si>
  <si>
    <t>SOSTITUZIONE IDU INTERRATA</t>
  </si>
  <si>
    <t>PS.06.01.02</t>
  </si>
  <si>
    <t>Monitoraggio IDU</t>
  </si>
  <si>
    <t>PS.01.02.09</t>
  </si>
  <si>
    <t xml:space="preserve">POSA IDU_Svp IDU 4_Collegamento IDU su TS DE 315 in gas </t>
  </si>
  <si>
    <t>PS.01.02.05</t>
  </si>
  <si>
    <t>POSA IDU_Svp IDU 2 mancato riutilizzo TRS materiale di tipo B &amp; mancato utilizzo riciclato per materiali A e B</t>
  </si>
  <si>
    <t>PS.03.02.05</t>
  </si>
  <si>
    <t>Ripristino in cubetti autobloccanti</t>
  </si>
  <si>
    <t>Ripristino speciale</t>
  </si>
  <si>
    <t>mq</t>
  </si>
  <si>
    <t>PS.03.02.08</t>
  </si>
  <si>
    <t>Battuto di cemento a 200 kg/m3 di cemento R 325 compresa la formazione di giunti e applicazione di rete elettrosaldata</t>
  </si>
  <si>
    <t>PS.03.03.05</t>
  </si>
  <si>
    <t>Fornitura di materiali per il ripristino in cubetti autobloccanti</t>
  </si>
  <si>
    <t>8910000</t>
  </si>
  <si>
    <t>Costi della sicurezza</t>
  </si>
  <si>
    <t>Oneri Sicurezza</t>
  </si>
  <si>
    <t>a corpo</t>
  </si>
  <si>
    <t>WEEK</t>
  </si>
  <si>
    <t>Avanzamento rete reale</t>
  </si>
  <si>
    <t>Posa rete teorica (mt)</t>
  </si>
  <si>
    <t>Avanzamento rete teorico</t>
  </si>
  <si>
    <t xml:space="preserve"> Collegamenti rete (cad)</t>
  </si>
  <si>
    <t>Posa IDU (cad)</t>
  </si>
  <si>
    <t>MEDIA Resa di Produzione (mt posa rete/squadra)</t>
  </si>
  <si>
    <t>GG Effettivi
Operativi</t>
  </si>
  <si>
    <t>Week 25</t>
  </si>
  <si>
    <t>Week 26</t>
  </si>
  <si>
    <t>Week 27</t>
  </si>
  <si>
    <t>Week 28</t>
  </si>
  <si>
    <t>Week 29</t>
  </si>
  <si>
    <t>Week 30</t>
  </si>
  <si>
    <t>Data</t>
  </si>
  <si>
    <t>Giorno</t>
  </si>
  <si>
    <t>Week</t>
  </si>
  <si>
    <t>Tipologia Giorno</t>
  </si>
  <si>
    <t>Note / Festività</t>
  </si>
  <si>
    <t>Produzione giornaliera</t>
  </si>
  <si>
    <t xml:space="preserve">Elenco Indirizzi </t>
  </si>
  <si>
    <t>Causa Principale del Blocco</t>
  </si>
  <si>
    <t>Tubazioni</t>
  </si>
  <si>
    <t>Lunedì</t>
  </si>
  <si>
    <t>Lavorativo</t>
  </si>
  <si>
    <t>VIA BOSTON</t>
  </si>
  <si>
    <t>Martedì</t>
  </si>
  <si>
    <t>VIA SAN MARINO</t>
  </si>
  <si>
    <t>PE 125</t>
  </si>
  <si>
    <t>Mercoledì</t>
  </si>
  <si>
    <t>VIA PORDENONE</t>
  </si>
  <si>
    <t>PE 180</t>
  </si>
  <si>
    <t>Giovedì</t>
  </si>
  <si>
    <t>VIA GORIZIA</t>
  </si>
  <si>
    <t>PE 225</t>
  </si>
  <si>
    <t>Venerdì</t>
  </si>
  <si>
    <t>VIA LAGNASCO</t>
  </si>
  <si>
    <t>PE 315</t>
  </si>
  <si>
    <t>Sabato</t>
  </si>
  <si>
    <t>Fine Settimana</t>
  </si>
  <si>
    <t>VIA FABBRICHETTA</t>
  </si>
  <si>
    <t>Domenica</t>
  </si>
  <si>
    <t>VIA ALDO ROSSI</t>
  </si>
  <si>
    <t>VIA FILADELFIA</t>
  </si>
  <si>
    <t>VIA ACCIARINI</t>
  </si>
  <si>
    <t>VIA OGLIARO</t>
  </si>
  <si>
    <t>PIAZZA MONTANARI CARLO</t>
  </si>
  <si>
    <t>VIA TRIPOLI</t>
  </si>
  <si>
    <t>VIA COOPERATIVA LIRME / VIA TRIESTE</t>
  </si>
  <si>
    <t>VIA LATINA</t>
  </si>
  <si>
    <t>VIA FILADELFIA-TRIPOLI</t>
  </si>
  <si>
    <t>VIA CARANDO</t>
  </si>
  <si>
    <t>VIA GARIBALDI</t>
  </si>
  <si>
    <t>VIA MAZZINI / VIA GARIBALDI</t>
  </si>
  <si>
    <t>VIA VERDI / VIA SAN ROCCO</t>
  </si>
  <si>
    <t>VIA LEONE TRON</t>
  </si>
  <si>
    <t>VIA FREJUS</t>
  </si>
  <si>
    <t>VIA NATALE PALLI</t>
  </si>
  <si>
    <t>VIA NAZARIO SAURO / VIA COLOMBO</t>
  </si>
  <si>
    <t>VIA CRISTOFORO COLOMBO</t>
  </si>
  <si>
    <t>VIA ODDINO MORGARI</t>
  </si>
  <si>
    <t>VIA MICHELANGELO BUONARROTI</t>
  </si>
  <si>
    <t>VIA MONTANARO</t>
  </si>
  <si>
    <t>VIA RINO BASSI</t>
  </si>
  <si>
    <t>Festivo</t>
  </si>
  <si>
    <t>Ferragosto / Assunzione</t>
  </si>
  <si>
    <t>VIA FRATELLI BANDIERA</t>
  </si>
  <si>
    <t>Tutti i Santi</t>
  </si>
  <si>
    <t>Immacolata Concezione</t>
  </si>
  <si>
    <t>Natale</t>
  </si>
  <si>
    <t>Santo Stefano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</si>
</sst>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-* #,##0_-;\-* #,##0_-;_-* &quot;-&quot;_-;_-@_-"/>
    <numFmt numFmtId="43" formatCode="_-* #,##0.00_-;\-* #,##0.00_-;_-* &quot;-&quot;??_-;_-@_-"/>
    <numFmt numFmtId="164" formatCode="#,##0.0"/>
    <numFmt numFmtId="165" formatCode="#,##0&quot; gg&quot;"/>
    <numFmt numFmtId="166" formatCode="#,##0.00&quot; mt&quot;"/>
    <numFmt numFmtId="167" formatCode="#,##0&quot; cad&quot;"/>
    <numFmt numFmtId="168" formatCode="_-&quot;L.&quot;\ * #,##0.00_-;\-&quot;L.&quot;\ * #,##0.00_-;_-&quot;L.&quot;\ * &quot;-&quot;??_-;_-@_-"/>
    <numFmt numFmtId="169" formatCode="#,##0.00\ &quot;€&quot;"/>
    <numFmt numFmtId="170" formatCode="_-* #,##0.00\ [$€-410]_-;\-* #,##0.00\ [$€-410]_-;_-* &quot;-&quot;??\ [$€-410]_-;_-@_-"/>
    <numFmt numFmtId="171" formatCode="_-* #,##0.00_-;\-* #,##0.00_-;_-* &quot;-&quot;_-;_-@_-"/>
    <numFmt numFmtId="172" formatCode="_-[$€-410]\ * #,##0.00_-;\-[$€-410]\ * #,##0.00_-;_-[$€-410]\ * &quot;-&quot;??_-;_-@_-"/>
  </numFmts>
  <fonts count="40">
    <font>
      <sz val="12"/>
      <color theme="1"/>
      <name val="Aptos Narrow"/>
      <family val="2"/>
      <scheme val="minor"/>
    </font>
    <font>
      <sz val="12"/>
      <color theme="1"/>
      <name val="Arial"/>
      <family val="2"/>
    </font>
    <font>
      <b/>
      <sz val="10"/>
      <color rgb="FFFFFFFF"/>
      <name val="Arial"/>
      <family val="2"/>
    </font>
    <font>
      <sz val="10"/>
      <color rgb="FF1E293B"/>
      <name val="AriaL"/>
      <family val="2"/>
    </font>
    <font>
      <b/>
      <sz val="20"/>
      <color theme="7"/>
      <name val="Aptos Narrow (Corpo)"/>
    </font>
    <font>
      <sz val="8"/>
      <name val="Aptos Narrow"/>
      <family val="2"/>
      <scheme val="minor"/>
    </font>
    <font>
      <sz val="10"/>
      <color rgb="FF0F172A"/>
      <name val="AriaL"/>
      <family val="2"/>
    </font>
    <font>
      <b/>
      <sz val="11"/>
      <color rgb="FF0F172A"/>
      <name val="Arial"/>
      <family val="2"/>
    </font>
    <font>
      <b/>
      <sz val="11"/>
      <color rgb="FFFFFFFF"/>
      <name val="Arial"/>
      <family val="2"/>
    </font>
    <font>
      <b/>
      <sz val="16"/>
      <color rgb="FF2D80C9"/>
      <name val="Arial"/>
      <family val="2"/>
    </font>
    <font>
      <b/>
      <sz val="10"/>
      <color theme="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2"/>
      <color theme="0"/>
      <name val="Arial"/>
      <family val="2"/>
    </font>
    <font>
      <sz val="11"/>
      <color theme="1"/>
      <name val="Aptos Narrow"/>
      <family val="2"/>
      <scheme val="minor"/>
    </font>
    <font>
      <sz val="11"/>
      <color rgb="FF333333"/>
      <name val="Calibri"/>
      <family val="2"/>
    </font>
    <font>
      <b/>
      <sz val="11"/>
      <color rgb="FF333333"/>
      <name val="Calibri"/>
      <family val="2"/>
    </font>
    <font>
      <i/>
      <sz val="11"/>
      <color rgb="FF922B21"/>
      <name val="Calibri"/>
      <family val="2"/>
    </font>
    <font>
      <b/>
      <sz val="12"/>
      <color rgb="FFFFFFFF"/>
      <name val="Arial"/>
      <family val="2"/>
    </font>
    <font>
      <sz val="12"/>
      <color rgb="FF000000"/>
      <name val="Arial"/>
      <family val="2"/>
    </font>
    <font>
      <sz val="12"/>
      <color theme="1"/>
      <name val="Aptos Narrow"/>
      <family val="2"/>
      <scheme val="minor"/>
    </font>
    <font>
      <sz val="9"/>
      <name val="Arial"/>
      <family val="2"/>
    </font>
    <font>
      <sz val="9"/>
      <name val="Calibri"/>
      <family val="2"/>
    </font>
    <font>
      <sz val="15"/>
      <color rgb="FF4079A6"/>
      <name val="Arial"/>
      <family val="2"/>
    </font>
    <font>
      <b/>
      <sz val="14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"/>
      <family val="2"/>
    </font>
    <font>
      <sz val="12"/>
      <name val="Calibri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sz val="9"/>
      <color rgb="FFFF0000"/>
      <name val="Arial"/>
      <family val="2"/>
    </font>
    <font>
      <i/>
      <sz val="11"/>
      <color theme="2" tint="-0.499984740745262"/>
      <name val="Arial"/>
      <family val="2"/>
    </font>
    <font>
      <sz val="12"/>
      <color rgb="FF1E293B"/>
      <name val="AriaL"/>
      <family val="2"/>
    </font>
    <font>
      <b/>
      <sz val="12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rgb="FFF8FAFC"/>
      </patternFill>
    </fill>
    <fill>
      <patternFill patternType="solid">
        <fgColor rgb="FF2D80C9"/>
        <bgColor rgb="FF1B365D"/>
      </patternFill>
    </fill>
    <fill>
      <patternFill patternType="solid">
        <fgColor theme="0"/>
        <bgColor rgb="FFF8FAFC"/>
      </patternFill>
    </fill>
    <fill>
      <patternFill patternType="solid">
        <fgColor rgb="FF2D80C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4F4"/>
        <bgColor rgb="FFF2F4F4"/>
      </patternFill>
    </fill>
    <fill>
      <patternFill patternType="solid">
        <fgColor rgb="FFFDEDEC"/>
        <bgColor rgb="FFFDEDE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66CC"/>
        <bgColor rgb="FF000000"/>
      </patternFill>
    </fill>
    <fill>
      <patternFill patternType="solid">
        <fgColor rgb="FF2D80C9"/>
        <bgColor rgb="FF000000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AF2E0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dashed">
        <color theme="0" tint="-0.249977111117893"/>
      </bottom>
      <diagonal/>
    </border>
    <border>
      <left style="dashed">
        <color theme="0" tint="-0.249977111117893"/>
      </left>
      <right/>
      <top style="dashed">
        <color theme="0" tint="-0.249977111117893"/>
      </top>
      <bottom/>
      <diagonal/>
    </border>
    <border>
      <left/>
      <right/>
      <top style="dashed">
        <color theme="0" tint="-0.249977111117893"/>
      </top>
      <bottom/>
      <diagonal/>
    </border>
    <border>
      <left style="dashed">
        <color theme="0" tint="-0.249977111117893"/>
      </left>
      <right/>
      <top/>
      <bottom/>
      <diagonal/>
    </border>
    <border>
      <left style="dashed">
        <color theme="0" tint="-0.249977111117893"/>
      </left>
      <right/>
      <top/>
      <bottom style="thin">
        <color theme="0" tint="-0.249977111117893"/>
      </bottom>
      <diagonal/>
    </border>
    <border>
      <left style="dashed">
        <color theme="0" tint="-0.249977111117893"/>
      </left>
      <right/>
      <top style="thin">
        <color theme="0" tint="-0.249977111117893"/>
      </top>
      <bottom/>
      <diagonal/>
    </border>
    <border>
      <left style="dashed">
        <color theme="0" tint="-0.249977111117893"/>
      </left>
      <right/>
      <top/>
      <bottom style="dashed">
        <color theme="0" tint="-0.249977111117893"/>
      </bottom>
      <diagonal/>
    </border>
    <border>
      <left style="hair">
        <color theme="1"/>
      </left>
      <right style="hair">
        <color theme="1"/>
      </right>
      <top/>
      <bottom/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/>
      <top/>
      <bottom style="dashed">
        <color theme="0" tint="-0.499984740745262"/>
      </bottom>
      <diagonal/>
    </border>
    <border>
      <left style="dashed">
        <color theme="0" tint="-0.499984740745262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D5D8DC"/>
      </left>
      <right style="thin">
        <color rgb="FFD5D8DC"/>
      </right>
      <top style="thin">
        <color rgb="FFD5D8DC"/>
      </top>
      <bottom style="thin">
        <color rgb="FFD5D8DC"/>
      </bottom>
      <diagonal/>
    </border>
    <border>
      <left style="dashed">
        <color rgb="FF808080"/>
      </left>
      <right style="dashed">
        <color rgb="FF808080"/>
      </right>
      <top style="dashed">
        <color rgb="FF808080"/>
      </top>
      <bottom style="dashed">
        <color rgb="FF808080"/>
      </bottom>
      <diagonal/>
    </border>
    <border>
      <left/>
      <right style="thin">
        <color theme="0" tint="-0.14999847407452621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medium">
        <color theme="0" tint="-0.34998626667073579"/>
      </left>
      <right style="thin">
        <color theme="0" tint="-0.249977111117893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249977111117893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34998626667073579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34998626667073579"/>
      </right>
      <top style="medium">
        <color theme="0" tint="-0.34998626667073579"/>
      </top>
      <bottom style="thin">
        <color theme="0" tint="-0.249977111117893"/>
      </bottom>
      <diagonal/>
    </border>
    <border>
      <left style="medium">
        <color theme="0" tint="-0.34998626667073579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34998626667073579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34998626667073579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dashed">
        <color theme="0" tint="-0.499984740745262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dashed">
        <color theme="0" tint="-0.249977111117893"/>
      </left>
      <right/>
      <top/>
      <bottom style="thin">
        <color theme="0" tint="-0.34998626667073579"/>
      </bottom>
      <diagonal/>
    </border>
    <border>
      <left style="dashed">
        <color theme="0" tint="-0.499984740745262"/>
      </left>
      <right style="dashed">
        <color theme="0" tint="-0.499984740745262"/>
      </right>
      <top/>
      <bottom style="dashed">
        <color theme="0" tint="-0.499984740745262"/>
      </bottom>
      <diagonal/>
    </border>
    <border>
      <left style="medium">
        <color theme="0" tint="-0.249977111117893"/>
      </left>
      <right style="dashed">
        <color theme="0" tint="-0.499984740745262"/>
      </right>
      <top style="medium">
        <color theme="0" tint="-0.249977111117893"/>
      </top>
      <bottom style="medium">
        <color theme="0" tint="-0.249977111117893"/>
      </bottom>
      <diagonal/>
    </border>
    <border>
      <left style="dashed">
        <color theme="0" tint="-0.499984740745262"/>
      </left>
      <right style="dashed">
        <color theme="0" tint="-0.499984740745262"/>
      </right>
      <top style="medium">
        <color theme="0" tint="-0.249977111117893"/>
      </top>
      <bottom style="medium">
        <color theme="0" tint="-0.249977111117893"/>
      </bottom>
      <diagonal/>
    </border>
    <border>
      <left style="dashed">
        <color theme="0" tint="-0.499984740745262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theme="0" tint="-0.34998626667073579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/>
      <right style="thin">
        <color theme="0" tint="-0.249977111117893"/>
      </right>
      <top style="medium">
        <color theme="0" tint="-0.34998626667073579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medium">
        <color indexed="64"/>
      </bottom>
      <diagonal/>
    </border>
    <border>
      <left style="thin">
        <color theme="0" tint="-0.249977111117893"/>
      </left>
      <right style="medium">
        <color theme="0" tint="-0.34998626667073579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34998626667073579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77111117893"/>
      </left>
      <right style="medium">
        <color theme="0" tint="-0.34998626667073579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249977111117893"/>
      </left>
      <right style="medium">
        <color indexed="64"/>
      </right>
      <top style="medium">
        <color theme="0" tint="-0.34998626667073579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/>
      <diagonal/>
    </border>
    <border>
      <left style="thin">
        <color theme="0" tint="-0.249977111117893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theme="0" tint="-0.34998626667073579"/>
      </right>
      <top style="medium">
        <color indexed="64"/>
      </top>
      <bottom/>
      <diagonal/>
    </border>
    <border>
      <left/>
      <right style="thin">
        <color theme="0" tint="-0.249977111117893"/>
      </right>
      <top style="medium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249977111117893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 style="medium">
        <color theme="0" tint="-0.249977111117893"/>
      </right>
      <top style="medium">
        <color theme="0" tint="-0.34998626667073579"/>
      </top>
      <bottom style="thin">
        <color theme="0" tint="-0.249977111117893"/>
      </bottom>
      <diagonal/>
    </border>
    <border>
      <left style="medium">
        <color theme="0" tint="-0.34998626667073579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34998626667073579"/>
      </left>
      <right style="medium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249977111117893"/>
      </right>
      <top/>
      <bottom style="thin">
        <color theme="0" tint="-0.249977111117893"/>
      </bottom>
      <diagonal/>
    </border>
    <border>
      <left style="medium">
        <color theme="0" tint="-0.34998626667073579"/>
      </left>
      <right style="medium">
        <color theme="0" tint="-0.249977111117893"/>
      </right>
      <top/>
      <bottom/>
      <diagonal/>
    </border>
    <border>
      <left style="medium">
        <color theme="0" tint="-0.34998626667073579"/>
      </left>
      <right style="medium">
        <color theme="0" tint="-0.249977111117893"/>
      </right>
      <top/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medium">
        <color indexed="64"/>
      </top>
      <bottom/>
      <diagonal/>
    </border>
  </borders>
  <cellStyleXfs count="10">
    <xf numFmtId="0" fontId="0" fillId="0" borderId="0"/>
    <xf numFmtId="0" fontId="12" fillId="0" borderId="0"/>
    <xf numFmtId="43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0" fontId="12" fillId="8" borderId="14" applyNumberFormat="0" applyFont="0" applyAlignment="0" applyProtection="0"/>
    <xf numFmtId="168" fontId="12" fillId="0" borderId="0" applyFont="0" applyFill="0" applyBorder="0" applyAlignment="0" applyProtection="0"/>
    <xf numFmtId="0" fontId="14" fillId="9" borderId="0" applyNumberFormat="0" applyBorder="0" applyAlignment="0" applyProtection="0"/>
    <xf numFmtId="0" fontId="14" fillId="0" borderId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</cellStyleXfs>
  <cellXfs count="36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0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1" fillId="2" borderId="0" xfId="0" applyFont="1" applyFill="1" applyAlignment="1">
      <alignment horizontal="center"/>
    </xf>
    <xf numFmtId="0" fontId="11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/>
    </xf>
    <xf numFmtId="1" fontId="7" fillId="5" borderId="0" xfId="0" applyNumberFormat="1" applyFont="1" applyFill="1" applyAlignment="1">
      <alignment horizontal="center" vertical="center" wrapText="1"/>
    </xf>
    <xf numFmtId="0" fontId="0" fillId="2" borderId="3" xfId="0" applyFill="1" applyBorder="1" applyAlignment="1">
      <alignment horizontal="center"/>
    </xf>
    <xf numFmtId="0" fontId="9" fillId="2" borderId="4" xfId="0" applyFont="1" applyFill="1" applyBorder="1" applyAlignment="1">
      <alignment horizontal="left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2" fillId="4" borderId="11" xfId="0" applyFont="1" applyFill="1" applyBorder="1" applyAlignment="1">
      <alignment horizontal="center" vertical="center" wrapText="1"/>
    </xf>
    <xf numFmtId="10" fontId="2" fillId="4" borderId="11" xfId="0" applyNumberFormat="1" applyFont="1" applyFill="1" applyBorder="1" applyAlignment="1">
      <alignment horizontal="center" vertical="center" wrapText="1"/>
    </xf>
    <xf numFmtId="164" fontId="3" fillId="0" borderId="11" xfId="0" applyNumberFormat="1" applyFont="1" applyBorder="1" applyAlignment="1" applyProtection="1">
      <alignment horizontal="left" vertical="center" wrapText="1"/>
      <protection locked="0"/>
    </xf>
    <xf numFmtId="3" fontId="3" fillId="0" borderId="11" xfId="0" applyNumberFormat="1" applyFont="1" applyBorder="1" applyAlignment="1" applyProtection="1">
      <alignment horizontal="center" vertical="center" wrapText="1"/>
      <protection locked="0"/>
    </xf>
    <xf numFmtId="166" fontId="6" fillId="0" borderId="11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 applyAlignment="1" applyProtection="1">
      <alignment horizontal="center" vertical="center" wrapText="1"/>
      <protection locked="0"/>
    </xf>
    <xf numFmtId="3" fontId="3" fillId="0" borderId="11" xfId="0" applyNumberFormat="1" applyFont="1" applyBorder="1" applyAlignment="1">
      <alignment horizontal="center" vertical="center" wrapText="1"/>
    </xf>
    <xf numFmtId="10" fontId="3" fillId="0" borderId="11" xfId="0" applyNumberFormat="1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wrapText="1"/>
    </xf>
    <xf numFmtId="2" fontId="1" fillId="0" borderId="11" xfId="0" applyNumberFormat="1" applyFont="1" applyBorder="1" applyAlignment="1">
      <alignment horizont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166" fontId="7" fillId="3" borderId="0" xfId="0" applyNumberFormat="1" applyFont="1" applyFill="1" applyAlignment="1">
      <alignment horizontal="center" vertical="center" wrapText="1"/>
    </xf>
    <xf numFmtId="165" fontId="7" fillId="3" borderId="0" xfId="0" applyNumberFormat="1" applyFont="1" applyFill="1" applyAlignment="1">
      <alignment horizontal="center" vertical="center" wrapText="1"/>
    </xf>
    <xf numFmtId="167" fontId="7" fillId="3" borderId="0" xfId="0" applyNumberFormat="1" applyFont="1" applyFill="1" applyAlignment="1">
      <alignment horizontal="center" vertical="center" wrapText="1"/>
    </xf>
    <xf numFmtId="14" fontId="3" fillId="0" borderId="11" xfId="0" applyNumberFormat="1" applyFont="1" applyBorder="1" applyAlignment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0" fontId="2" fillId="4" borderId="11" xfId="0" applyFont="1" applyFill="1" applyBorder="1" applyAlignment="1" applyProtection="1">
      <alignment horizontal="center" vertical="center" wrapText="1"/>
      <protection locked="0"/>
    </xf>
    <xf numFmtId="0" fontId="3" fillId="0" borderId="11" xfId="0" applyFont="1" applyBorder="1" applyAlignment="1" applyProtection="1">
      <alignment horizontal="center" vertical="center" wrapText="1"/>
      <protection locked="0"/>
    </xf>
    <xf numFmtId="0" fontId="4" fillId="2" borderId="10" xfId="0" applyFont="1" applyFill="1" applyBorder="1" applyAlignment="1" applyProtection="1">
      <alignment horizontal="center"/>
      <protection locked="0"/>
    </xf>
    <xf numFmtId="0" fontId="4" fillId="0" borderId="10" xfId="0" applyFont="1" applyBorder="1" applyAlignment="1" applyProtection="1">
      <alignment horizontal="center"/>
      <protection locked="0"/>
    </xf>
    <xf numFmtId="0" fontId="2" fillId="4" borderId="11" xfId="0" applyFont="1" applyFill="1" applyBorder="1" applyAlignment="1" applyProtection="1">
      <alignment horizontal="left" vertical="center" wrapText="1"/>
      <protection locked="0"/>
    </xf>
    <xf numFmtId="0" fontId="10" fillId="4" borderId="11" xfId="0" applyFont="1" applyFill="1" applyBorder="1" applyAlignment="1" applyProtection="1">
      <alignment horizontal="center" vertical="center" wrapText="1"/>
      <protection locked="0"/>
    </xf>
    <xf numFmtId="166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11" fillId="2" borderId="12" xfId="0" applyFont="1" applyFill="1" applyBorder="1" applyAlignment="1">
      <alignment horizontal="left" vertical="center"/>
    </xf>
    <xf numFmtId="0" fontId="11" fillId="2" borderId="13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 wrapText="1"/>
    </xf>
    <xf numFmtId="0" fontId="13" fillId="6" borderId="11" xfId="0" applyFont="1" applyFill="1" applyBorder="1" applyAlignment="1">
      <alignment horizontal="left" vertical="center" wrapText="1"/>
    </xf>
    <xf numFmtId="0" fontId="14" fillId="0" borderId="0" xfId="7"/>
    <xf numFmtId="0" fontId="15" fillId="0" borderId="15" xfId="7" applyFont="1" applyBorder="1" applyAlignment="1">
      <alignment horizontal="center" vertical="center"/>
    </xf>
    <xf numFmtId="0" fontId="15" fillId="0" borderId="15" xfId="7" applyFont="1" applyBorder="1" applyAlignment="1">
      <alignment horizontal="left" vertical="center"/>
    </xf>
    <xf numFmtId="14" fontId="15" fillId="0" borderId="15" xfId="7" applyNumberFormat="1" applyFont="1" applyBorder="1" applyAlignment="1">
      <alignment horizontal="center" vertical="center"/>
    </xf>
    <xf numFmtId="0" fontId="16" fillId="11" borderId="15" xfId="7" applyFont="1" applyFill="1" applyBorder="1" applyAlignment="1">
      <alignment horizontal="left" vertical="center"/>
    </xf>
    <xf numFmtId="0" fontId="16" fillId="11" borderId="15" xfId="7" applyFont="1" applyFill="1" applyBorder="1" applyAlignment="1">
      <alignment horizontal="center" vertical="center"/>
    </xf>
    <xf numFmtId="14" fontId="16" fillId="11" borderId="15" xfId="7" applyNumberFormat="1" applyFont="1" applyFill="1" applyBorder="1" applyAlignment="1">
      <alignment horizontal="center" vertical="center"/>
    </xf>
    <xf numFmtId="0" fontId="17" fillId="12" borderId="15" xfId="7" applyFont="1" applyFill="1" applyBorder="1" applyAlignment="1">
      <alignment horizontal="left" vertical="center"/>
    </xf>
    <xf numFmtId="0" fontId="17" fillId="12" borderId="15" xfId="7" applyFont="1" applyFill="1" applyBorder="1" applyAlignment="1">
      <alignment horizontal="center" vertical="center"/>
    </xf>
    <xf numFmtId="14" fontId="17" fillId="12" borderId="15" xfId="7" applyNumberFormat="1" applyFont="1" applyFill="1" applyBorder="1" applyAlignment="1">
      <alignment horizontal="center" vertical="center"/>
    </xf>
    <xf numFmtId="0" fontId="15" fillId="10" borderId="15" xfId="7" applyFont="1" applyFill="1" applyBorder="1" applyAlignment="1">
      <alignment horizontal="center" vertical="center"/>
    </xf>
    <xf numFmtId="2" fontId="19" fillId="0" borderId="16" xfId="0" applyNumberFormat="1" applyFont="1" applyBorder="1" applyAlignment="1">
      <alignment horizontal="center" wrapText="1"/>
    </xf>
    <xf numFmtId="0" fontId="0" fillId="2" borderId="17" xfId="0" applyFill="1" applyBorder="1"/>
    <xf numFmtId="164" fontId="3" fillId="0" borderId="11" xfId="0" applyNumberFormat="1" applyFont="1" applyBorder="1" applyAlignment="1" applyProtection="1">
      <alignment horizontal="center" vertical="center" wrapText="1"/>
      <protection locked="0"/>
    </xf>
    <xf numFmtId="2" fontId="15" fillId="0" borderId="15" xfId="7" applyNumberFormat="1" applyFont="1" applyBorder="1" applyAlignment="1">
      <alignment horizontal="center" vertical="center"/>
    </xf>
    <xf numFmtId="0" fontId="21" fillId="0" borderId="0" xfId="1" applyFont="1"/>
    <xf numFmtId="169" fontId="21" fillId="0" borderId="0" xfId="2" applyNumberFormat="1" applyFont="1"/>
    <xf numFmtId="43" fontId="21" fillId="0" borderId="0" xfId="2" applyFont="1" applyAlignment="1">
      <alignment horizontal="right"/>
    </xf>
    <xf numFmtId="0" fontId="21" fillId="0" borderId="0" xfId="1" applyFont="1" applyAlignment="1">
      <alignment horizontal="center"/>
    </xf>
    <xf numFmtId="0" fontId="21" fillId="0" borderId="0" xfId="1" applyFont="1" applyProtection="1">
      <protection hidden="1"/>
    </xf>
    <xf numFmtId="9" fontId="21" fillId="0" borderId="0" xfId="1" applyNumberFormat="1" applyFont="1" applyProtection="1">
      <protection hidden="1"/>
    </xf>
    <xf numFmtId="169" fontId="21" fillId="0" borderId="0" xfId="2" applyNumberFormat="1" applyFont="1" applyProtection="1">
      <protection hidden="1"/>
    </xf>
    <xf numFmtId="43" fontId="21" fillId="0" borderId="0" xfId="2" applyFont="1" applyAlignment="1" applyProtection="1">
      <alignment horizontal="right"/>
      <protection hidden="1"/>
    </xf>
    <xf numFmtId="0" fontId="21" fillId="0" borderId="0" xfId="1" applyFont="1" applyAlignment="1" applyProtection="1">
      <alignment horizontal="center"/>
      <protection hidden="1"/>
    </xf>
    <xf numFmtId="0" fontId="12" fillId="0" borderId="0" xfId="1"/>
    <xf numFmtId="0" fontId="21" fillId="0" borderId="0" xfId="1" applyFont="1" applyAlignment="1">
      <alignment vertical="center"/>
    </xf>
    <xf numFmtId="169" fontId="21" fillId="0" borderId="0" xfId="2" applyNumberFormat="1" applyFont="1" applyAlignment="1">
      <alignment vertical="center"/>
    </xf>
    <xf numFmtId="0" fontId="21" fillId="0" borderId="0" xfId="1" applyFont="1" applyAlignment="1">
      <alignment horizontal="center" vertical="center"/>
    </xf>
    <xf numFmtId="0" fontId="22" fillId="0" borderId="0" xfId="1" applyFont="1" applyAlignment="1">
      <alignment vertical="center"/>
    </xf>
    <xf numFmtId="0" fontId="22" fillId="0" borderId="0" xfId="1" applyFont="1" applyAlignment="1">
      <alignment horizontal="center" vertical="center"/>
    </xf>
    <xf numFmtId="0" fontId="22" fillId="0" borderId="0" xfId="1" applyFont="1"/>
    <xf numFmtId="0" fontId="23" fillId="0" borderId="0" xfId="1" applyFont="1"/>
    <xf numFmtId="0" fontId="27" fillId="0" borderId="18" xfId="1" applyFont="1" applyBorder="1" applyAlignment="1">
      <alignment horizontal="center" vertical="center" textRotation="90"/>
    </xf>
    <xf numFmtId="0" fontId="21" fillId="2" borderId="0" xfId="1" applyFont="1" applyFill="1"/>
    <xf numFmtId="0" fontId="29" fillId="2" borderId="0" xfId="1" applyFont="1" applyFill="1" applyAlignment="1">
      <alignment vertical="center" wrapText="1"/>
    </xf>
    <xf numFmtId="0" fontId="29" fillId="2" borderId="0" xfId="1" applyFont="1" applyFill="1" applyAlignment="1">
      <alignment horizontal="left" vertical="center" wrapText="1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left" vertical="center"/>
    </xf>
    <xf numFmtId="0" fontId="21" fillId="0" borderId="0" xfId="1" applyFont="1" applyAlignment="1" applyProtection="1">
      <alignment horizontal="left"/>
      <protection hidden="1"/>
    </xf>
    <xf numFmtId="0" fontId="30" fillId="2" borderId="0" xfId="1" applyFont="1" applyFill="1" applyAlignment="1" applyProtection="1">
      <alignment horizontal="center" vertical="center" wrapText="1"/>
      <protection locked="0"/>
    </xf>
    <xf numFmtId="0" fontId="12" fillId="0" borderId="0" xfId="1" applyAlignment="1">
      <alignment vertical="center"/>
    </xf>
    <xf numFmtId="0" fontId="31" fillId="0" borderId="0" xfId="1" applyFont="1" applyAlignment="1">
      <alignment horizontal="center" vertical="center"/>
    </xf>
    <xf numFmtId="0" fontId="32" fillId="0" borderId="0" xfId="1" applyFont="1" applyAlignment="1">
      <alignment horizontal="center" vertical="center"/>
    </xf>
    <xf numFmtId="0" fontId="21" fillId="2" borderId="0" xfId="1" applyFont="1" applyFill="1" applyAlignment="1">
      <alignment horizontal="center"/>
    </xf>
    <xf numFmtId="0" fontId="21" fillId="2" borderId="0" xfId="1" applyFont="1" applyFill="1" applyAlignment="1">
      <alignment horizontal="left"/>
    </xf>
    <xf numFmtId="43" fontId="21" fillId="2" borderId="0" xfId="2" applyFont="1" applyFill="1" applyAlignment="1">
      <alignment horizontal="right"/>
    </xf>
    <xf numFmtId="169" fontId="21" fillId="2" borderId="0" xfId="2" applyNumberFormat="1" applyFont="1" applyFill="1"/>
    <xf numFmtId="0" fontId="9" fillId="2" borderId="0" xfId="0" applyFont="1" applyFill="1" applyAlignment="1">
      <alignment horizontal="left"/>
    </xf>
    <xf numFmtId="0" fontId="34" fillId="2" borderId="0" xfId="1" applyFont="1" applyFill="1" applyAlignment="1">
      <alignment horizontal="left" vertical="center"/>
    </xf>
    <xf numFmtId="0" fontId="11" fillId="2" borderId="0" xfId="1" applyFont="1" applyFill="1" applyAlignment="1" applyProtection="1">
      <alignment horizontal="left" vertical="center"/>
      <protection locked="0"/>
    </xf>
    <xf numFmtId="0" fontId="34" fillId="2" borderId="0" xfId="1" applyFont="1" applyFill="1" applyAlignment="1" applyProtection="1">
      <alignment horizontal="left" vertical="center"/>
      <protection locked="0"/>
    </xf>
    <xf numFmtId="0" fontId="11" fillId="2" borderId="0" xfId="1" applyFont="1" applyFill="1"/>
    <xf numFmtId="0" fontId="11" fillId="2" borderId="0" xfId="1" quotePrefix="1" applyFont="1" applyFill="1" applyAlignment="1" applyProtection="1">
      <alignment horizontal="left" vertical="center"/>
      <protection locked="0"/>
    </xf>
    <xf numFmtId="0" fontId="34" fillId="2" borderId="0" xfId="1" applyFont="1" applyFill="1" applyAlignment="1">
      <alignment vertical="center"/>
    </xf>
    <xf numFmtId="0" fontId="11" fillId="2" borderId="0" xfId="1" applyFont="1" applyFill="1" applyAlignment="1">
      <alignment vertical="center"/>
    </xf>
    <xf numFmtId="0" fontId="11" fillId="2" borderId="0" xfId="1" applyFont="1" applyFill="1" applyAlignment="1" applyProtection="1">
      <alignment vertical="center"/>
      <protection locked="0"/>
    </xf>
    <xf numFmtId="0" fontId="12" fillId="2" borderId="0" xfId="1" applyFill="1"/>
    <xf numFmtId="0" fontId="12" fillId="2" borderId="0" xfId="1" applyFill="1" applyAlignment="1" applyProtection="1">
      <alignment horizontal="left" vertical="center"/>
      <protection locked="0"/>
    </xf>
    <xf numFmtId="0" fontId="12" fillId="2" borderId="0" xfId="1" applyFill="1" applyAlignment="1" applyProtection="1">
      <alignment horizontal="left" vertical="center" wrapText="1"/>
      <protection locked="0"/>
    </xf>
    <xf numFmtId="0" fontId="12" fillId="2" borderId="0" xfId="1" applyFill="1" applyAlignment="1">
      <alignment vertical="center"/>
    </xf>
    <xf numFmtId="0" fontId="12" fillId="2" borderId="0" xfId="1" applyFill="1" applyAlignment="1" applyProtection="1">
      <alignment vertical="center"/>
      <protection locked="0"/>
    </xf>
    <xf numFmtId="0" fontId="21" fillId="0" borderId="0" xfId="1" applyFont="1" applyAlignment="1">
      <alignment horizontal="left" vertical="center" wrapText="1" shrinkToFit="1"/>
    </xf>
    <xf numFmtId="43" fontId="21" fillId="0" borderId="0" xfId="2" applyFont="1" applyBorder="1" applyAlignment="1">
      <alignment horizontal="center" vertical="center"/>
    </xf>
    <xf numFmtId="169" fontId="21" fillId="0" borderId="0" xfId="2" applyNumberFormat="1" applyFont="1" applyBorder="1" applyAlignment="1">
      <alignment horizontal="center" vertical="center"/>
    </xf>
    <xf numFmtId="170" fontId="12" fillId="0" borderId="0" xfId="1" applyNumberFormat="1"/>
    <xf numFmtId="171" fontId="36" fillId="0" borderId="0" xfId="3" applyNumberFormat="1" applyFont="1" applyBorder="1" applyAlignment="1">
      <alignment vertical="center"/>
    </xf>
    <xf numFmtId="171" fontId="21" fillId="0" borderId="0" xfId="3" applyNumberFormat="1" applyFont="1" applyAlignment="1">
      <alignment vertical="center"/>
    </xf>
    <xf numFmtId="43" fontId="21" fillId="0" borderId="0" xfId="2" applyFont="1" applyAlignment="1">
      <alignment horizontal="right" vertical="center"/>
    </xf>
    <xf numFmtId="0" fontId="26" fillId="0" borderId="0" xfId="1" applyFont="1"/>
    <xf numFmtId="0" fontId="24" fillId="0" borderId="19" xfId="1" applyFont="1" applyBorder="1" applyAlignment="1">
      <alignment horizontal="center" vertical="center" textRotation="90" wrapText="1"/>
    </xf>
    <xf numFmtId="0" fontId="28" fillId="0" borderId="18" xfId="1" applyFont="1" applyBorder="1" applyAlignment="1">
      <alignment horizontal="center" vertical="center" textRotation="90"/>
    </xf>
    <xf numFmtId="0" fontId="27" fillId="15" borderId="18" xfId="1" applyFont="1" applyFill="1" applyBorder="1" applyAlignment="1">
      <alignment horizontal="center" vertical="center" textRotation="90"/>
    </xf>
    <xf numFmtId="0" fontId="27" fillId="7" borderId="18" xfId="1" applyFont="1" applyFill="1" applyBorder="1" applyAlignment="1">
      <alignment horizontal="center" vertical="center" textRotation="90"/>
    </xf>
    <xf numFmtId="49" fontId="25" fillId="16" borderId="20" xfId="1" applyNumberFormat="1" applyFont="1" applyFill="1" applyBorder="1" applyAlignment="1">
      <alignment horizontal="center" vertical="center"/>
    </xf>
    <xf numFmtId="49" fontId="25" fillId="16" borderId="20" xfId="1" applyNumberFormat="1" applyFont="1" applyFill="1" applyBorder="1" applyAlignment="1">
      <alignment horizontal="left" vertical="center"/>
    </xf>
    <xf numFmtId="0" fontId="25" fillId="16" borderId="20" xfId="1" applyFont="1" applyFill="1" applyBorder="1" applyAlignment="1">
      <alignment horizontal="center" vertical="center"/>
    </xf>
    <xf numFmtId="171" fontId="25" fillId="16" borderId="20" xfId="3" applyNumberFormat="1" applyFont="1" applyFill="1" applyBorder="1" applyAlignment="1" applyProtection="1">
      <alignment horizontal="center" vertical="center"/>
      <protection locked="0"/>
    </xf>
    <xf numFmtId="172" fontId="26" fillId="16" borderId="20" xfId="3" applyNumberFormat="1" applyFont="1" applyFill="1" applyBorder="1" applyAlignment="1" applyProtection="1">
      <alignment horizontal="center" vertical="center"/>
    </xf>
    <xf numFmtId="170" fontId="11" fillId="16" borderId="20" xfId="5" applyNumberFormat="1" applyFont="1" applyFill="1" applyBorder="1"/>
    <xf numFmtId="169" fontId="35" fillId="2" borderId="21" xfId="3" applyNumberFormat="1" applyFont="1" applyFill="1" applyBorder="1" applyAlignment="1">
      <alignment horizontal="center" vertical="center"/>
    </xf>
    <xf numFmtId="0" fontId="28" fillId="0" borderId="23" xfId="1" applyFont="1" applyBorder="1" applyAlignment="1">
      <alignment horizontal="center" vertical="center" wrapText="1"/>
    </xf>
    <xf numFmtId="0" fontId="28" fillId="0" borderId="23" xfId="1" applyFont="1" applyBorder="1" applyAlignment="1">
      <alignment horizontal="center" vertical="center"/>
    </xf>
    <xf numFmtId="43" fontId="28" fillId="0" borderId="23" xfId="2" applyFont="1" applyBorder="1" applyAlignment="1" applyProtection="1">
      <alignment horizontal="center" vertical="center" wrapText="1"/>
    </xf>
    <xf numFmtId="169" fontId="28" fillId="0" borderId="23" xfId="2" applyNumberFormat="1" applyFont="1" applyBorder="1" applyAlignment="1" applyProtection="1">
      <alignment horizontal="right" vertical="center" wrapText="1"/>
    </xf>
    <xf numFmtId="0" fontId="28" fillId="0" borderId="24" xfId="1" applyFont="1" applyBorder="1" applyAlignment="1">
      <alignment horizontal="center" vertical="center" wrapText="1"/>
    </xf>
    <xf numFmtId="0" fontId="37" fillId="2" borderId="0" xfId="1" applyFont="1" applyFill="1" applyAlignment="1">
      <alignment vertical="top"/>
    </xf>
    <xf numFmtId="0" fontId="15" fillId="0" borderId="0" xfId="7" applyFont="1" applyAlignment="1">
      <alignment horizontal="left" vertical="center"/>
    </xf>
    <xf numFmtId="0" fontId="14" fillId="0" borderId="0" xfId="7" applyAlignment="1">
      <alignment horizontal="left"/>
    </xf>
    <xf numFmtId="0" fontId="13" fillId="18" borderId="11" xfId="0" applyFont="1" applyFill="1" applyBorder="1" applyAlignment="1">
      <alignment horizontal="center" vertical="center" wrapText="1"/>
    </xf>
    <xf numFmtId="0" fontId="13" fillId="18" borderId="0" xfId="0" applyFont="1" applyFill="1" applyAlignment="1">
      <alignment horizontal="center" vertical="center" wrapText="1"/>
    </xf>
    <xf numFmtId="0" fontId="18" fillId="19" borderId="16" xfId="0" applyFont="1" applyFill="1" applyBorder="1" applyAlignment="1">
      <alignment horizontal="center" vertical="center" wrapText="1"/>
    </xf>
    <xf numFmtId="0" fontId="18" fillId="20" borderId="0" xfId="0" applyFont="1" applyFill="1" applyAlignment="1">
      <alignment horizontal="center" vertical="center" wrapText="1"/>
    </xf>
    <xf numFmtId="0" fontId="13" fillId="21" borderId="11" xfId="0" applyFont="1" applyFill="1" applyBorder="1" applyAlignment="1">
      <alignment horizontal="center" vertical="center" wrapText="1"/>
    </xf>
    <xf numFmtId="0" fontId="13" fillId="17" borderId="11" xfId="0" applyFont="1" applyFill="1" applyBorder="1" applyAlignment="1">
      <alignment horizontal="center" vertical="center" wrapText="1"/>
    </xf>
    <xf numFmtId="0" fontId="13" fillId="22" borderId="11" xfId="0" applyFont="1" applyFill="1" applyBorder="1" applyAlignment="1">
      <alignment horizontal="center" vertical="center" wrapText="1"/>
    </xf>
    <xf numFmtId="169" fontId="26" fillId="2" borderId="21" xfId="3" applyNumberFormat="1" applyFont="1" applyFill="1" applyBorder="1" applyAlignment="1">
      <alignment horizontal="center" vertical="center"/>
    </xf>
    <xf numFmtId="172" fontId="26" fillId="2" borderId="21" xfId="3" applyNumberFormat="1" applyFont="1" applyFill="1" applyBorder="1" applyAlignment="1">
      <alignment vertical="center"/>
    </xf>
    <xf numFmtId="0" fontId="37" fillId="2" borderId="6" xfId="0" applyFont="1" applyFill="1" applyBorder="1"/>
    <xf numFmtId="14" fontId="38" fillId="0" borderId="11" xfId="0" applyNumberFormat="1" applyFont="1" applyBorder="1" applyAlignment="1">
      <alignment horizontal="center" vertical="center" wrapText="1"/>
    </xf>
    <xf numFmtId="0" fontId="9" fillId="2" borderId="0" xfId="0" applyFont="1" applyFill="1" applyAlignment="1">
      <alignment horizontal="left" vertical="top"/>
    </xf>
    <xf numFmtId="49" fontId="39" fillId="0" borderId="29" xfId="1" applyNumberFormat="1" applyFont="1" applyBorder="1" applyAlignment="1">
      <alignment horizontal="center" vertical="center"/>
    </xf>
    <xf numFmtId="49" fontId="39" fillId="0" borderId="27" xfId="1" applyNumberFormat="1" applyFont="1" applyBorder="1" applyAlignment="1">
      <alignment horizontal="center" vertical="center"/>
    </xf>
    <xf numFmtId="49" fontId="1" fillId="0" borderId="30" xfId="1" applyNumberFormat="1" applyFont="1" applyBorder="1" applyAlignment="1">
      <alignment horizontal="center" vertical="center"/>
    </xf>
    <xf numFmtId="49" fontId="1" fillId="0" borderId="20" xfId="1" applyNumberFormat="1" applyFont="1" applyBorder="1" applyAlignment="1">
      <alignment horizontal="center" vertical="center"/>
    </xf>
    <xf numFmtId="0" fontId="21" fillId="0" borderId="0" xfId="1" applyFont="1" applyAlignment="1">
      <alignment vertical="top"/>
    </xf>
    <xf numFmtId="0" fontId="29" fillId="2" borderId="0" xfId="1" applyFont="1" applyFill="1" applyAlignment="1">
      <alignment vertical="top" wrapText="1"/>
    </xf>
    <xf numFmtId="0" fontId="12" fillId="2" borderId="0" xfId="1" applyFill="1" applyAlignment="1">
      <alignment vertical="top"/>
    </xf>
    <xf numFmtId="0" fontId="21" fillId="2" borderId="0" xfId="1" applyFont="1" applyFill="1" applyAlignment="1">
      <alignment horizontal="center" vertical="top"/>
    </xf>
    <xf numFmtId="49" fontId="1" fillId="0" borderId="30" xfId="1" applyNumberFormat="1" applyFont="1" applyBorder="1" applyAlignment="1">
      <alignment horizontal="left" vertical="top"/>
    </xf>
    <xf numFmtId="49" fontId="1" fillId="0" borderId="20" xfId="1" applyNumberFormat="1" applyFont="1" applyBorder="1" applyAlignment="1">
      <alignment horizontal="left" vertical="top"/>
    </xf>
    <xf numFmtId="0" fontId="21" fillId="0" borderId="0" xfId="1" applyFont="1" applyAlignment="1" applyProtection="1">
      <alignment vertical="top"/>
      <protection hidden="1"/>
    </xf>
    <xf numFmtId="0" fontId="11" fillId="2" borderId="31" xfId="0" applyFont="1" applyFill="1" applyBorder="1" applyAlignment="1">
      <alignment horizontal="center" vertical="center"/>
    </xf>
    <xf numFmtId="0" fontId="8" fillId="4" borderId="32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left" vertical="center"/>
    </xf>
    <xf numFmtId="14" fontId="38" fillId="0" borderId="34" xfId="0" applyNumberFormat="1" applyFont="1" applyBorder="1" applyAlignment="1">
      <alignment horizontal="center" vertical="center" wrapText="1"/>
    </xf>
    <xf numFmtId="0" fontId="18" fillId="4" borderId="35" xfId="0" applyFont="1" applyFill="1" applyBorder="1" applyAlignment="1">
      <alignment horizontal="center" vertical="center" wrapText="1"/>
    </xf>
    <xf numFmtId="0" fontId="18" fillId="4" borderId="36" xfId="0" applyFont="1" applyFill="1" applyBorder="1" applyAlignment="1">
      <alignment horizontal="center" vertical="center" wrapText="1"/>
    </xf>
    <xf numFmtId="0" fontId="18" fillId="4" borderId="37" xfId="0" applyFont="1" applyFill="1" applyBorder="1" applyAlignment="1">
      <alignment vertical="center" wrapText="1"/>
    </xf>
    <xf numFmtId="49" fontId="39" fillId="0" borderId="38" xfId="1" applyNumberFormat="1" applyFont="1" applyBorder="1" applyAlignment="1">
      <alignment horizontal="center" vertical="center"/>
    </xf>
    <xf numFmtId="49" fontId="1" fillId="0" borderId="39" xfId="1" applyNumberFormat="1" applyFont="1" applyBorder="1" applyAlignment="1">
      <alignment horizontal="center" vertical="center"/>
    </xf>
    <xf numFmtId="14" fontId="38" fillId="0" borderId="36" xfId="0" applyNumberFormat="1" applyFont="1" applyBorder="1" applyAlignment="1">
      <alignment horizontal="center" vertical="center" wrapText="1"/>
    </xf>
    <xf numFmtId="49" fontId="1" fillId="0" borderId="40" xfId="1" applyNumberFormat="1" applyFont="1" applyBorder="1" applyAlignment="1">
      <alignment horizontal="left" vertical="top" wrapText="1"/>
    </xf>
    <xf numFmtId="49" fontId="39" fillId="0" borderId="40" xfId="1" applyNumberFormat="1" applyFont="1" applyBorder="1" applyAlignment="1">
      <alignment horizontal="left" vertical="center" wrapText="1"/>
    </xf>
    <xf numFmtId="0" fontId="8" fillId="4" borderId="42" xfId="0" applyFont="1" applyFill="1" applyBorder="1" applyAlignment="1">
      <alignment horizontal="center" vertical="center" wrapText="1"/>
    </xf>
    <xf numFmtId="166" fontId="7" fillId="3" borderId="41" xfId="0" applyNumberFormat="1" applyFont="1" applyFill="1" applyBorder="1" applyAlignment="1">
      <alignment horizontal="center" vertical="center" wrapText="1"/>
    </xf>
    <xf numFmtId="0" fontId="28" fillId="0" borderId="57" xfId="1" applyFont="1" applyBorder="1" applyAlignment="1">
      <alignment horizontal="center" vertical="center"/>
    </xf>
    <xf numFmtId="169" fontId="28" fillId="0" borderId="62" xfId="2" applyNumberFormat="1" applyFont="1" applyBorder="1" applyAlignment="1" applyProtection="1">
      <alignment horizontal="right" vertical="center" wrapText="1"/>
    </xf>
    <xf numFmtId="0" fontId="28" fillId="0" borderId="62" xfId="1" applyFont="1" applyBorder="1" applyAlignment="1">
      <alignment horizontal="center" vertical="center"/>
    </xf>
    <xf numFmtId="0" fontId="28" fillId="0" borderId="62" xfId="1" applyFont="1" applyBorder="1" applyAlignment="1">
      <alignment horizontal="center" vertical="center" wrapText="1"/>
    </xf>
    <xf numFmtId="0" fontId="28" fillId="0" borderId="57" xfId="1" applyFont="1" applyBorder="1" applyAlignment="1">
      <alignment horizontal="center" vertical="center" wrapText="1"/>
    </xf>
    <xf numFmtId="0" fontId="28" fillId="0" borderId="72" xfId="1" applyFont="1" applyBorder="1" applyAlignment="1">
      <alignment horizontal="center" vertical="center"/>
    </xf>
    <xf numFmtId="49" fontId="25" fillId="16" borderId="60" xfId="1" applyNumberFormat="1" applyFont="1" applyFill="1" applyBorder="1" applyAlignment="1">
      <alignment horizontal="left" vertical="center"/>
    </xf>
    <xf numFmtId="0" fontId="25" fillId="16" borderId="30" xfId="1" applyFont="1" applyFill="1" applyBorder="1" applyAlignment="1">
      <alignment horizontal="center" vertical="center"/>
    </xf>
    <xf numFmtId="49" fontId="25" fillId="16" borderId="30" xfId="1" applyNumberFormat="1" applyFont="1" applyFill="1" applyBorder="1" applyAlignment="1">
      <alignment horizontal="left" vertical="center"/>
    </xf>
    <xf numFmtId="49" fontId="25" fillId="16" borderId="30" xfId="1" applyNumberFormat="1" applyFont="1" applyFill="1" applyBorder="1" applyAlignment="1">
      <alignment horizontal="center" vertical="center"/>
    </xf>
    <xf numFmtId="171" fontId="25" fillId="16" borderId="30" xfId="3" applyNumberFormat="1" applyFont="1" applyFill="1" applyBorder="1" applyAlignment="1" applyProtection="1">
      <alignment horizontal="center" vertical="center"/>
      <protection locked="0"/>
    </xf>
    <xf numFmtId="172" fontId="26" fillId="16" borderId="30" xfId="3" applyNumberFormat="1" applyFont="1" applyFill="1" applyBorder="1" applyAlignment="1" applyProtection="1">
      <alignment horizontal="center" vertical="center"/>
    </xf>
    <xf numFmtId="172" fontId="26" fillId="16" borderId="66" xfId="3" applyNumberFormat="1" applyFont="1" applyFill="1" applyBorder="1" applyAlignment="1" applyProtection="1">
      <alignment horizontal="center" vertical="center"/>
    </xf>
    <xf numFmtId="171" fontId="25" fillId="16" borderId="60" xfId="3" applyNumberFormat="1" applyFont="1" applyFill="1" applyBorder="1" applyAlignment="1" applyProtection="1">
      <alignment horizontal="center" vertical="center"/>
      <protection locked="0"/>
    </xf>
    <xf numFmtId="172" fontId="25" fillId="16" borderId="66" xfId="3" applyNumberFormat="1" applyFont="1" applyFill="1" applyBorder="1" applyAlignment="1" applyProtection="1">
      <alignment horizontal="center" vertical="center"/>
    </xf>
    <xf numFmtId="171" fontId="11" fillId="16" borderId="60" xfId="1" applyNumberFormat="1" applyFont="1" applyFill="1" applyBorder="1"/>
    <xf numFmtId="170" fontId="11" fillId="16" borderId="30" xfId="5" applyNumberFormat="1" applyFont="1" applyFill="1" applyBorder="1"/>
    <xf numFmtId="9" fontId="26" fillId="16" borderId="66" xfId="4" applyNumberFormat="1" applyFont="1" applyFill="1" applyBorder="1" applyAlignment="1">
      <alignment horizontal="center" vertical="center" wrapText="1"/>
    </xf>
    <xf numFmtId="49" fontId="25" fillId="16" borderId="58" xfId="1" applyNumberFormat="1" applyFont="1" applyFill="1" applyBorder="1" applyAlignment="1">
      <alignment horizontal="left" vertical="center"/>
    </xf>
    <xf numFmtId="172" fontId="26" fillId="16" borderId="64" xfId="3" applyNumberFormat="1" applyFont="1" applyFill="1" applyBorder="1" applyAlignment="1" applyProtection="1">
      <alignment horizontal="center" vertical="center"/>
    </xf>
    <xf numFmtId="171" fontId="25" fillId="16" borderId="58" xfId="3" applyNumberFormat="1" applyFont="1" applyFill="1" applyBorder="1" applyAlignment="1" applyProtection="1">
      <alignment horizontal="center" vertical="center"/>
      <protection locked="0"/>
    </xf>
    <xf numFmtId="172" fontId="25" fillId="16" borderId="64" xfId="3" applyNumberFormat="1" applyFont="1" applyFill="1" applyBorder="1" applyAlignment="1" applyProtection="1">
      <alignment horizontal="center" vertical="center"/>
    </xf>
    <xf numFmtId="171" fontId="11" fillId="16" borderId="58" xfId="1" applyNumberFormat="1" applyFont="1" applyFill="1" applyBorder="1"/>
    <xf numFmtId="9" fontId="26" fillId="16" borderId="64" xfId="4" applyNumberFormat="1" applyFont="1" applyFill="1" applyBorder="1" applyAlignment="1">
      <alignment horizontal="center" vertical="center" wrapText="1"/>
    </xf>
    <xf numFmtId="49" fontId="25" fillId="16" borderId="59" xfId="1" applyNumberFormat="1" applyFont="1" applyFill="1" applyBorder="1" applyAlignment="1">
      <alignment horizontal="left" vertical="center" wrapText="1"/>
    </xf>
    <xf numFmtId="0" fontId="25" fillId="16" borderId="44" xfId="1" applyFont="1" applyFill="1" applyBorder="1" applyAlignment="1">
      <alignment horizontal="center" vertical="center"/>
    </xf>
    <xf numFmtId="49" fontId="25" fillId="16" borderId="44" xfId="1" applyNumberFormat="1" applyFont="1" applyFill="1" applyBorder="1" applyAlignment="1">
      <alignment horizontal="left" vertical="center"/>
    </xf>
    <xf numFmtId="49" fontId="25" fillId="16" borderId="44" xfId="1" applyNumberFormat="1" applyFont="1" applyFill="1" applyBorder="1" applyAlignment="1">
      <alignment horizontal="center" vertical="center"/>
    </xf>
    <xf numFmtId="171" fontId="25" fillId="16" borderId="44" xfId="3" applyNumberFormat="1" applyFont="1" applyFill="1" applyBorder="1" applyAlignment="1" applyProtection="1">
      <alignment horizontal="center" vertical="center"/>
      <protection locked="0"/>
    </xf>
    <xf numFmtId="172" fontId="26" fillId="16" borderId="44" xfId="3" applyNumberFormat="1" applyFont="1" applyFill="1" applyBorder="1" applyAlignment="1" applyProtection="1">
      <alignment horizontal="center" vertical="center"/>
    </xf>
    <xf numFmtId="172" fontId="26" fillId="16" borderId="65" xfId="3" applyNumberFormat="1" applyFont="1" applyFill="1" applyBorder="1" applyAlignment="1" applyProtection="1">
      <alignment horizontal="center" vertical="center"/>
    </xf>
    <xf numFmtId="171" fontId="25" fillId="16" borderId="59" xfId="3" applyNumberFormat="1" applyFont="1" applyFill="1" applyBorder="1" applyAlignment="1" applyProtection="1">
      <alignment horizontal="center" vertical="center"/>
      <protection locked="0"/>
    </xf>
    <xf numFmtId="172" fontId="25" fillId="16" borderId="65" xfId="3" applyNumberFormat="1" applyFont="1" applyFill="1" applyBorder="1" applyAlignment="1" applyProtection="1">
      <alignment horizontal="center" vertical="center"/>
    </xf>
    <xf numFmtId="171" fontId="11" fillId="16" borderId="59" xfId="1" applyNumberFormat="1" applyFont="1" applyFill="1" applyBorder="1"/>
    <xf numFmtId="170" fontId="11" fillId="16" borderId="44" xfId="5" applyNumberFormat="1" applyFont="1" applyFill="1" applyBorder="1"/>
    <xf numFmtId="9" fontId="26" fillId="16" borderId="65" xfId="4" applyNumberFormat="1" applyFont="1" applyFill="1" applyBorder="1" applyAlignment="1">
      <alignment horizontal="center" vertical="center" wrapText="1"/>
    </xf>
    <xf numFmtId="49" fontId="25" fillId="16" borderId="76" xfId="1" applyNumberFormat="1" applyFont="1" applyFill="1" applyBorder="1" applyAlignment="1">
      <alignment horizontal="center" vertical="center"/>
    </xf>
    <xf numFmtId="49" fontId="25" fillId="16" borderId="74" xfId="1" applyNumberFormat="1" applyFont="1" applyFill="1" applyBorder="1" applyAlignment="1">
      <alignment horizontal="center" vertical="center"/>
    </xf>
    <xf numFmtId="49" fontId="25" fillId="16" borderId="75" xfId="1" applyNumberFormat="1" applyFont="1" applyFill="1" applyBorder="1" applyAlignment="1">
      <alignment horizontal="center" vertical="center"/>
    </xf>
    <xf numFmtId="49" fontId="25" fillId="24" borderId="79" xfId="1" applyNumberFormat="1" applyFont="1" applyFill="1" applyBorder="1" applyAlignment="1">
      <alignment horizontal="center" vertical="center"/>
    </xf>
    <xf numFmtId="49" fontId="25" fillId="24" borderId="71" xfId="1" applyNumberFormat="1" applyFont="1" applyFill="1" applyBorder="1" applyAlignment="1">
      <alignment horizontal="left" vertical="center"/>
    </xf>
    <xf numFmtId="0" fontId="25" fillId="24" borderId="51" xfId="1" applyFont="1" applyFill="1" applyBorder="1" applyAlignment="1">
      <alignment horizontal="center" vertical="center"/>
    </xf>
    <xf numFmtId="49" fontId="25" fillId="24" borderId="51" xfId="1" applyNumberFormat="1" applyFont="1" applyFill="1" applyBorder="1" applyAlignment="1">
      <alignment horizontal="left" vertical="center"/>
    </xf>
    <xf numFmtId="49" fontId="25" fillId="24" borderId="51" xfId="1" applyNumberFormat="1" applyFont="1" applyFill="1" applyBorder="1" applyAlignment="1">
      <alignment horizontal="center" vertical="center"/>
    </xf>
    <xf numFmtId="49" fontId="25" fillId="24" borderId="46" xfId="1" applyNumberFormat="1" applyFont="1" applyFill="1" applyBorder="1" applyAlignment="1">
      <alignment horizontal="center" vertical="center"/>
    </xf>
    <xf numFmtId="171" fontId="25" fillId="24" borderId="46" xfId="3" applyNumberFormat="1" applyFont="1" applyFill="1" applyBorder="1" applyAlignment="1" applyProtection="1">
      <alignment horizontal="center" vertical="center"/>
      <protection locked="0"/>
    </xf>
    <xf numFmtId="172" fontId="26" fillId="24" borderId="46" xfId="3" applyNumberFormat="1" applyFont="1" applyFill="1" applyBorder="1" applyAlignment="1" applyProtection="1">
      <alignment horizontal="center" vertical="center"/>
    </xf>
    <xf numFmtId="172" fontId="26" fillId="24" borderId="53" xfId="3" applyNumberFormat="1" applyFont="1" applyFill="1" applyBorder="1" applyAlignment="1" applyProtection="1">
      <alignment horizontal="center" vertical="center"/>
    </xf>
    <xf numFmtId="171" fontId="25" fillId="24" borderId="61" xfId="3" applyNumberFormat="1" applyFont="1" applyFill="1" applyBorder="1" applyAlignment="1" applyProtection="1">
      <alignment horizontal="center" vertical="center"/>
      <protection locked="0"/>
    </xf>
    <xf numFmtId="172" fontId="25" fillId="24" borderId="68" xfId="3" applyNumberFormat="1" applyFont="1" applyFill="1" applyBorder="1" applyAlignment="1" applyProtection="1">
      <alignment horizontal="center" vertical="center"/>
    </xf>
    <xf numFmtId="171" fontId="11" fillId="24" borderId="61" xfId="1" applyNumberFormat="1" applyFont="1" applyFill="1" applyBorder="1"/>
    <xf numFmtId="170" fontId="11" fillId="24" borderId="46" xfId="5" applyNumberFormat="1" applyFont="1" applyFill="1" applyBorder="1"/>
    <xf numFmtId="9" fontId="26" fillId="24" borderId="68" xfId="6" applyNumberFormat="1" applyFont="1" applyFill="1" applyBorder="1" applyAlignment="1" applyProtection="1">
      <alignment horizontal="center" vertical="center" wrapText="1"/>
    </xf>
    <xf numFmtId="170" fontId="11" fillId="24" borderId="46" xfId="5" applyNumberFormat="1" applyFont="1" applyFill="1" applyBorder="1" applyAlignment="1">
      <alignment vertical="center"/>
    </xf>
    <xf numFmtId="169" fontId="11" fillId="24" borderId="46" xfId="5" applyNumberFormat="1" applyFont="1" applyFill="1" applyBorder="1" applyAlignment="1">
      <alignment horizontal="center" vertical="center"/>
    </xf>
    <xf numFmtId="9" fontId="26" fillId="24" borderId="54" xfId="9" applyNumberFormat="1" applyFont="1" applyFill="1" applyBorder="1" applyAlignment="1" applyProtection="1">
      <alignment horizontal="center" vertical="center" wrapText="1"/>
    </xf>
    <xf numFmtId="49" fontId="25" fillId="25" borderId="73" xfId="1" applyNumberFormat="1" applyFont="1" applyFill="1" applyBorder="1" applyAlignment="1">
      <alignment horizontal="center" vertical="center"/>
    </xf>
    <xf numFmtId="49" fontId="25" fillId="25" borderId="45" xfId="1" applyNumberFormat="1" applyFont="1" applyFill="1" applyBorder="1" applyAlignment="1">
      <alignment horizontal="left" vertical="center" wrapText="1"/>
    </xf>
    <xf numFmtId="0" fontId="25" fillId="25" borderId="25" xfId="1" applyFont="1" applyFill="1" applyBorder="1" applyAlignment="1">
      <alignment horizontal="center" vertical="center"/>
    </xf>
    <xf numFmtId="49" fontId="25" fillId="25" borderId="25" xfId="1" applyNumberFormat="1" applyFont="1" applyFill="1" applyBorder="1" applyAlignment="1">
      <alignment horizontal="left" vertical="center"/>
    </xf>
    <xf numFmtId="49" fontId="25" fillId="25" borderId="25" xfId="1" applyNumberFormat="1" applyFont="1" applyFill="1" applyBorder="1" applyAlignment="1">
      <alignment horizontal="center" vertical="center"/>
    </xf>
    <xf numFmtId="171" fontId="25" fillId="25" borderId="25" xfId="3" applyNumberFormat="1" applyFont="1" applyFill="1" applyBorder="1" applyAlignment="1" applyProtection="1">
      <alignment horizontal="center" vertical="center"/>
      <protection locked="0"/>
    </xf>
    <xf numFmtId="172" fontId="26" fillId="25" borderId="25" xfId="3" applyNumberFormat="1" applyFont="1" applyFill="1" applyBorder="1" applyAlignment="1" applyProtection="1">
      <alignment horizontal="center" vertical="center"/>
    </xf>
    <xf numFmtId="172" fontId="26" fillId="25" borderId="63" xfId="3" applyNumberFormat="1" applyFont="1" applyFill="1" applyBorder="1" applyAlignment="1" applyProtection="1">
      <alignment horizontal="center" vertical="center"/>
    </xf>
    <xf numFmtId="171" fontId="25" fillId="25" borderId="58" xfId="3" applyNumberFormat="1" applyFont="1" applyFill="1" applyBorder="1" applyAlignment="1" applyProtection="1">
      <alignment horizontal="center" vertical="center"/>
      <protection locked="0"/>
    </xf>
    <xf numFmtId="172" fontId="25" fillId="25" borderId="63" xfId="3" applyNumberFormat="1" applyFont="1" applyFill="1" applyBorder="1" applyAlignment="1" applyProtection="1">
      <alignment horizontal="center" vertical="center"/>
    </xf>
    <xf numFmtId="171" fontId="25" fillId="25" borderId="45" xfId="3" applyNumberFormat="1" applyFont="1" applyFill="1" applyBorder="1" applyAlignment="1" applyProtection="1">
      <alignment horizontal="center" vertical="center"/>
      <protection locked="0"/>
    </xf>
    <xf numFmtId="171" fontId="11" fillId="25" borderId="45" xfId="1" applyNumberFormat="1" applyFont="1" applyFill="1" applyBorder="1"/>
    <xf numFmtId="170" fontId="25" fillId="25" borderId="25" xfId="5" applyNumberFormat="1" applyFont="1" applyFill="1" applyBorder="1"/>
    <xf numFmtId="9" fontId="26" fillId="25" borderId="63" xfId="4" applyNumberFormat="1" applyFont="1" applyFill="1" applyBorder="1" applyAlignment="1">
      <alignment horizontal="center" vertical="center" wrapText="1"/>
    </xf>
    <xf numFmtId="49" fontId="25" fillId="25" borderId="74" xfId="1" applyNumberFormat="1" applyFont="1" applyFill="1" applyBorder="1" applyAlignment="1">
      <alignment horizontal="center" vertical="center"/>
    </xf>
    <xf numFmtId="49" fontId="25" fillId="25" borderId="58" xfId="1" applyNumberFormat="1" applyFont="1" applyFill="1" applyBorder="1" applyAlignment="1">
      <alignment horizontal="left" vertical="center" wrapText="1"/>
    </xf>
    <xf numFmtId="0" fontId="25" fillId="25" borderId="20" xfId="1" applyFont="1" applyFill="1" applyBorder="1" applyAlignment="1">
      <alignment horizontal="center" vertical="center"/>
    </xf>
    <xf numFmtId="49" fontId="25" fillId="25" borderId="20" xfId="1" applyNumberFormat="1" applyFont="1" applyFill="1" applyBorder="1" applyAlignment="1">
      <alignment horizontal="left" vertical="center"/>
    </xf>
    <xf numFmtId="49" fontId="25" fillId="25" borderId="20" xfId="1" applyNumberFormat="1" applyFont="1" applyFill="1" applyBorder="1" applyAlignment="1">
      <alignment horizontal="center" vertical="center"/>
    </xf>
    <xf numFmtId="171" fontId="25" fillId="25" borderId="20" xfId="3" applyNumberFormat="1" applyFont="1" applyFill="1" applyBorder="1" applyAlignment="1" applyProtection="1">
      <alignment horizontal="center" vertical="center"/>
      <protection locked="0"/>
    </xf>
    <xf numFmtId="172" fontId="26" fillId="25" borderId="20" xfId="3" applyNumberFormat="1" applyFont="1" applyFill="1" applyBorder="1" applyAlignment="1" applyProtection="1">
      <alignment horizontal="center" vertical="center"/>
    </xf>
    <xf numFmtId="172" fontId="26" fillId="25" borderId="64" xfId="3" applyNumberFormat="1" applyFont="1" applyFill="1" applyBorder="1" applyAlignment="1" applyProtection="1">
      <alignment horizontal="center" vertical="center"/>
    </xf>
    <xf numFmtId="172" fontId="25" fillId="25" borderId="64" xfId="3" applyNumberFormat="1" applyFont="1" applyFill="1" applyBorder="1" applyAlignment="1" applyProtection="1">
      <alignment horizontal="center" vertical="center"/>
    </xf>
    <xf numFmtId="171" fontId="11" fillId="25" borderId="58" xfId="1" applyNumberFormat="1" applyFont="1" applyFill="1" applyBorder="1"/>
    <xf numFmtId="170" fontId="11" fillId="25" borderId="20" xfId="5" applyNumberFormat="1" applyFont="1" applyFill="1" applyBorder="1"/>
    <xf numFmtId="9" fontId="26" fillId="25" borderId="64" xfId="4" applyNumberFormat="1" applyFont="1" applyFill="1" applyBorder="1" applyAlignment="1">
      <alignment horizontal="center" vertical="center" wrapText="1"/>
    </xf>
    <xf numFmtId="49" fontId="25" fillId="25" borderId="58" xfId="1" applyNumberFormat="1" applyFont="1" applyFill="1" applyBorder="1" applyAlignment="1">
      <alignment horizontal="left" vertical="center"/>
    </xf>
    <xf numFmtId="49" fontId="25" fillId="25" borderId="75" xfId="1" applyNumberFormat="1" applyFont="1" applyFill="1" applyBorder="1" applyAlignment="1">
      <alignment horizontal="center" vertical="center"/>
    </xf>
    <xf numFmtId="49" fontId="25" fillId="25" borderId="59" xfId="1" applyNumberFormat="1" applyFont="1" applyFill="1" applyBorder="1" applyAlignment="1">
      <alignment horizontal="left" vertical="center" wrapText="1"/>
    </xf>
    <xf numFmtId="0" fontId="25" fillId="25" borderId="44" xfId="1" applyFont="1" applyFill="1" applyBorder="1" applyAlignment="1">
      <alignment horizontal="center" vertical="center"/>
    </xf>
    <xf numFmtId="49" fontId="25" fillId="25" borderId="44" xfId="1" applyNumberFormat="1" applyFont="1" applyFill="1" applyBorder="1" applyAlignment="1">
      <alignment horizontal="left" vertical="center"/>
    </xf>
    <xf numFmtId="49" fontId="25" fillId="25" borderId="44" xfId="1" applyNumberFormat="1" applyFont="1" applyFill="1" applyBorder="1" applyAlignment="1">
      <alignment horizontal="center" vertical="center"/>
    </xf>
    <xf numFmtId="171" fontId="25" fillId="25" borderId="44" xfId="3" applyNumberFormat="1" applyFont="1" applyFill="1" applyBorder="1" applyAlignment="1" applyProtection="1">
      <alignment horizontal="center" vertical="center"/>
      <protection locked="0"/>
    </xf>
    <xf numFmtId="172" fontId="26" fillId="25" borderId="44" xfId="3" applyNumberFormat="1" applyFont="1" applyFill="1" applyBorder="1" applyAlignment="1" applyProtection="1">
      <alignment horizontal="center" vertical="center"/>
    </xf>
    <xf numFmtId="172" fontId="26" fillId="25" borderId="65" xfId="3" applyNumberFormat="1" applyFont="1" applyFill="1" applyBorder="1" applyAlignment="1" applyProtection="1">
      <alignment horizontal="center" vertical="center"/>
    </xf>
    <xf numFmtId="171" fontId="25" fillId="25" borderId="59" xfId="3" applyNumberFormat="1" applyFont="1" applyFill="1" applyBorder="1" applyAlignment="1" applyProtection="1">
      <alignment horizontal="center" vertical="center"/>
      <protection locked="0"/>
    </xf>
    <xf numFmtId="172" fontId="25" fillId="25" borderId="65" xfId="3" applyNumberFormat="1" applyFont="1" applyFill="1" applyBorder="1" applyAlignment="1" applyProtection="1">
      <alignment horizontal="center" vertical="center"/>
    </xf>
    <xf numFmtId="171" fontId="11" fillId="25" borderId="59" xfId="1" applyNumberFormat="1" applyFont="1" applyFill="1" applyBorder="1"/>
    <xf numFmtId="170" fontId="11" fillId="25" borderId="44" xfId="5" applyNumberFormat="1" applyFont="1" applyFill="1" applyBorder="1"/>
    <xf numFmtId="9" fontId="26" fillId="25" borderId="65" xfId="4" applyNumberFormat="1" applyFont="1" applyFill="1" applyBorder="1" applyAlignment="1">
      <alignment horizontal="center" vertical="center" wrapText="1"/>
    </xf>
    <xf numFmtId="171" fontId="11" fillId="16" borderId="59" xfId="1" applyNumberFormat="1" applyFont="1" applyFill="1" applyBorder="1" applyAlignment="1">
      <alignment vertical="center"/>
    </xf>
    <xf numFmtId="49" fontId="26" fillId="0" borderId="56" xfId="1" applyNumberFormat="1" applyFont="1" applyBorder="1" applyAlignment="1">
      <alignment vertical="center"/>
    </xf>
    <xf numFmtId="49" fontId="25" fillId="23" borderId="77" xfId="1" applyNumberFormat="1" applyFont="1" applyFill="1" applyBorder="1" applyAlignment="1">
      <alignment horizontal="center" vertical="center"/>
    </xf>
    <xf numFmtId="49" fontId="25" fillId="23" borderId="52" xfId="1" applyNumberFormat="1" applyFont="1" applyFill="1" applyBorder="1" applyAlignment="1">
      <alignment horizontal="left" vertical="center"/>
    </xf>
    <xf numFmtId="0" fontId="25" fillId="23" borderId="21" xfId="1" applyFont="1" applyFill="1" applyBorder="1" applyAlignment="1">
      <alignment horizontal="center" vertical="center"/>
    </xf>
    <xf numFmtId="49" fontId="25" fillId="23" borderId="21" xfId="1" applyNumberFormat="1" applyFont="1" applyFill="1" applyBorder="1" applyAlignment="1">
      <alignment horizontal="left" vertical="center"/>
    </xf>
    <xf numFmtId="49" fontId="25" fillId="23" borderId="55" xfId="1" applyNumberFormat="1" applyFont="1" applyFill="1" applyBorder="1" applyAlignment="1">
      <alignment horizontal="center" vertical="center"/>
    </xf>
    <xf numFmtId="171" fontId="25" fillId="23" borderId="55" xfId="3" applyNumberFormat="1" applyFont="1" applyFill="1" applyBorder="1" applyAlignment="1" applyProtection="1">
      <alignment horizontal="center" vertical="center"/>
      <protection locked="0"/>
    </xf>
    <xf numFmtId="172" fontId="26" fillId="23" borderId="67" xfId="3" applyNumberFormat="1" applyFont="1" applyFill="1" applyBorder="1" applyAlignment="1" applyProtection="1">
      <alignment horizontal="center" vertical="center"/>
    </xf>
    <xf numFmtId="9" fontId="26" fillId="23" borderId="67" xfId="4" applyNumberFormat="1" applyFont="1" applyFill="1" applyBorder="1" applyAlignment="1">
      <alignment horizontal="center" vertical="center" wrapText="1"/>
    </xf>
    <xf numFmtId="9" fontId="26" fillId="23" borderId="69" xfId="4" applyNumberFormat="1" applyFont="1" applyFill="1" applyBorder="1" applyAlignment="1">
      <alignment horizontal="center" vertical="center" wrapText="1"/>
    </xf>
    <xf numFmtId="49" fontId="25" fillId="23" borderId="78" xfId="1" applyNumberFormat="1" applyFont="1" applyFill="1" applyBorder="1" applyAlignment="1">
      <alignment horizontal="center" vertical="center"/>
    </xf>
    <xf numFmtId="49" fontId="25" fillId="23" borderId="61" xfId="1" applyNumberFormat="1" applyFont="1" applyFill="1" applyBorder="1" applyAlignment="1">
      <alignment horizontal="left" vertical="center"/>
    </xf>
    <xf numFmtId="0" fontId="25" fillId="23" borderId="46" xfId="1" applyFont="1" applyFill="1" applyBorder="1" applyAlignment="1">
      <alignment horizontal="center" vertical="center"/>
    </xf>
    <xf numFmtId="49" fontId="25" fillId="23" borderId="46" xfId="1" applyNumberFormat="1" applyFont="1" applyFill="1" applyBorder="1" applyAlignment="1">
      <alignment horizontal="left" vertical="center"/>
    </xf>
    <xf numFmtId="49" fontId="25" fillId="23" borderId="46" xfId="1" applyNumberFormat="1" applyFont="1" applyFill="1" applyBorder="1" applyAlignment="1">
      <alignment horizontal="center" vertical="center"/>
    </xf>
    <xf numFmtId="171" fontId="25" fillId="23" borderId="46" xfId="3" applyNumberFormat="1" applyFont="1" applyFill="1" applyBorder="1" applyAlignment="1" applyProtection="1">
      <alignment horizontal="center" vertical="center"/>
      <protection locked="0"/>
    </xf>
    <xf numFmtId="172" fontId="26" fillId="23" borderId="46" xfId="3" applyNumberFormat="1" applyFont="1" applyFill="1" applyBorder="1" applyAlignment="1" applyProtection="1">
      <alignment horizontal="center" vertical="center"/>
    </xf>
    <xf numFmtId="171" fontId="25" fillId="23" borderId="61" xfId="3" applyNumberFormat="1" applyFont="1" applyFill="1" applyBorder="1" applyAlignment="1" applyProtection="1">
      <alignment horizontal="center" vertical="center"/>
      <protection locked="0"/>
    </xf>
    <xf numFmtId="172" fontId="25" fillId="23" borderId="68" xfId="3" applyNumberFormat="1" applyFont="1" applyFill="1" applyBorder="1" applyAlignment="1" applyProtection="1">
      <alignment horizontal="center" vertical="center"/>
    </xf>
    <xf numFmtId="171" fontId="11" fillId="23" borderId="61" xfId="1" applyNumberFormat="1" applyFont="1" applyFill="1" applyBorder="1"/>
    <xf numFmtId="170" fontId="11" fillId="23" borderId="46" xfId="5" applyNumberFormat="1" applyFont="1" applyFill="1" applyBorder="1"/>
    <xf numFmtId="9" fontId="26" fillId="23" borderId="65" xfId="4" applyNumberFormat="1" applyFont="1" applyFill="1" applyBorder="1" applyAlignment="1">
      <alignment horizontal="center" vertical="center" wrapText="1"/>
    </xf>
    <xf numFmtId="49" fontId="25" fillId="23" borderId="80" xfId="1" applyNumberFormat="1" applyFont="1" applyFill="1" applyBorder="1" applyAlignment="1">
      <alignment horizontal="center" vertical="center"/>
    </xf>
    <xf numFmtId="49" fontId="25" fillId="23" borderId="58" xfId="1" applyNumberFormat="1" applyFont="1" applyFill="1" applyBorder="1" applyAlignment="1">
      <alignment horizontal="left" vertical="center" wrapText="1"/>
    </xf>
    <xf numFmtId="0" fontId="25" fillId="23" borderId="20" xfId="1" applyFont="1" applyFill="1" applyBorder="1" applyAlignment="1">
      <alignment horizontal="center" vertical="center"/>
    </xf>
    <xf numFmtId="49" fontId="25" fillId="23" borderId="20" xfId="1" applyNumberFormat="1" applyFont="1" applyFill="1" applyBorder="1" applyAlignment="1">
      <alignment horizontal="left" vertical="center"/>
    </xf>
    <xf numFmtId="49" fontId="25" fillId="23" borderId="20" xfId="1" applyNumberFormat="1" applyFont="1" applyFill="1" applyBorder="1" applyAlignment="1">
      <alignment horizontal="center" vertical="center"/>
    </xf>
    <xf numFmtId="171" fontId="25" fillId="23" borderId="20" xfId="3" applyNumberFormat="1" applyFont="1" applyFill="1" applyBorder="1" applyAlignment="1" applyProtection="1">
      <alignment horizontal="center" vertical="center"/>
      <protection locked="0"/>
    </xf>
    <xf numFmtId="172" fontId="26" fillId="23" borderId="30" xfId="3" applyNumberFormat="1" applyFont="1" applyFill="1" applyBorder="1" applyAlignment="1" applyProtection="1">
      <alignment horizontal="center" vertical="center"/>
    </xf>
    <xf numFmtId="172" fontId="26" fillId="23" borderId="66" xfId="3" applyNumberFormat="1" applyFont="1" applyFill="1" applyBorder="1" applyAlignment="1" applyProtection="1">
      <alignment horizontal="center" vertical="center"/>
    </xf>
    <xf numFmtId="172" fontId="26" fillId="23" borderId="49" xfId="3" applyNumberFormat="1" applyFont="1" applyFill="1" applyBorder="1" applyAlignment="1" applyProtection="1">
      <alignment horizontal="center" vertical="center"/>
    </xf>
    <xf numFmtId="172" fontId="26" fillId="23" borderId="81" xfId="3" applyNumberFormat="1" applyFont="1" applyFill="1" applyBorder="1" applyAlignment="1" applyProtection="1">
      <alignment horizontal="center" vertical="center"/>
    </xf>
    <xf numFmtId="171" fontId="25" fillId="23" borderId="82" xfId="3" applyNumberFormat="1" applyFont="1" applyFill="1" applyBorder="1" applyAlignment="1" applyProtection="1">
      <alignment horizontal="center" vertical="center"/>
      <protection locked="0"/>
    </xf>
    <xf numFmtId="172" fontId="25" fillId="23" borderId="81" xfId="3" applyNumberFormat="1" applyFont="1" applyFill="1" applyBorder="1" applyAlignment="1" applyProtection="1">
      <alignment horizontal="center" vertical="center"/>
    </xf>
    <xf numFmtId="171" fontId="11" fillId="23" borderId="83" xfId="1" applyNumberFormat="1" applyFont="1" applyFill="1" applyBorder="1"/>
    <xf numFmtId="170" fontId="11" fillId="23" borderId="49" xfId="5" applyNumberFormat="1" applyFont="1" applyFill="1" applyBorder="1"/>
    <xf numFmtId="170" fontId="11" fillId="23" borderId="20" xfId="5" applyNumberFormat="1" applyFont="1" applyFill="1" applyBorder="1"/>
    <xf numFmtId="171" fontId="11" fillId="23" borderId="84" xfId="1" applyNumberFormat="1" applyFont="1" applyFill="1" applyBorder="1"/>
    <xf numFmtId="171" fontId="25" fillId="23" borderId="85" xfId="3" applyNumberFormat="1" applyFont="1" applyFill="1" applyBorder="1" applyAlignment="1" applyProtection="1">
      <alignment horizontal="center" vertical="center"/>
      <protection locked="0"/>
    </xf>
    <xf numFmtId="172" fontId="25" fillId="23" borderId="66" xfId="3" applyNumberFormat="1" applyFont="1" applyFill="1" applyBorder="1" applyAlignment="1" applyProtection="1">
      <alignment horizontal="center" vertical="center"/>
    </xf>
    <xf numFmtId="171" fontId="25" fillId="23" borderId="60" xfId="3" applyNumberFormat="1" applyFont="1" applyFill="1" applyBorder="1" applyAlignment="1" applyProtection="1">
      <alignment horizontal="center" vertical="center"/>
      <protection locked="0"/>
    </xf>
    <xf numFmtId="171" fontId="25" fillId="23" borderId="83" xfId="3" applyNumberFormat="1" applyFont="1" applyFill="1" applyBorder="1" applyAlignment="1" applyProtection="1">
      <alignment horizontal="center" vertical="center"/>
      <protection locked="0"/>
    </xf>
    <xf numFmtId="171" fontId="11" fillId="23" borderId="58" xfId="1" applyNumberFormat="1" applyFont="1" applyFill="1" applyBorder="1"/>
    <xf numFmtId="172" fontId="25" fillId="23" borderId="64" xfId="3" applyNumberFormat="1" applyFont="1" applyFill="1" applyBorder="1" applyAlignment="1" applyProtection="1">
      <alignment horizontal="center" vertical="center"/>
    </xf>
    <xf numFmtId="49" fontId="26" fillId="0" borderId="86" xfId="1" applyNumberFormat="1" applyFont="1" applyBorder="1" applyAlignment="1">
      <alignment horizontal="center" vertical="center"/>
    </xf>
    <xf numFmtId="49" fontId="26" fillId="0" borderId="0" xfId="1" applyNumberFormat="1" applyFont="1" applyAlignment="1">
      <alignment horizontal="center" vertical="center"/>
    </xf>
    <xf numFmtId="169" fontId="26" fillId="2" borderId="86" xfId="3" applyNumberFormat="1" applyFont="1" applyFill="1" applyBorder="1" applyAlignment="1">
      <alignment horizontal="center" vertical="center"/>
    </xf>
    <xf numFmtId="169" fontId="26" fillId="2" borderId="0" xfId="3" applyNumberFormat="1" applyFont="1" applyFill="1" applyBorder="1" applyAlignment="1">
      <alignment horizontal="center" vertical="center"/>
    </xf>
    <xf numFmtId="9" fontId="26" fillId="2" borderId="86" xfId="4" applyNumberFormat="1" applyFont="1" applyFill="1" applyBorder="1" applyAlignment="1">
      <alignment horizontal="center" vertical="center" wrapText="1"/>
    </xf>
    <xf numFmtId="9" fontId="26" fillId="2" borderId="0" xfId="4" applyNumberFormat="1" applyFont="1" applyFill="1" applyBorder="1" applyAlignment="1">
      <alignment horizontal="center" vertical="center" wrapText="1"/>
    </xf>
    <xf numFmtId="0" fontId="13" fillId="6" borderId="57" xfId="1" applyFont="1" applyFill="1" applyBorder="1" applyAlignment="1">
      <alignment horizontal="center" vertical="center" wrapText="1"/>
    </xf>
    <xf numFmtId="0" fontId="13" fillId="6" borderId="23" xfId="1" applyFont="1" applyFill="1" applyBorder="1" applyAlignment="1">
      <alignment horizontal="center" vertical="center" wrapText="1"/>
    </xf>
    <xf numFmtId="0" fontId="13" fillId="6" borderId="24" xfId="1" applyFont="1" applyFill="1" applyBorder="1" applyAlignment="1">
      <alignment horizontal="center" vertical="center" wrapText="1"/>
    </xf>
    <xf numFmtId="169" fontId="25" fillId="23" borderId="55" xfId="5" applyNumberFormat="1" applyFont="1" applyFill="1" applyBorder="1" applyAlignment="1">
      <alignment horizontal="center" vertical="center"/>
    </xf>
    <xf numFmtId="169" fontId="25" fillId="23" borderId="21" xfId="5" applyNumberFormat="1" applyFont="1" applyFill="1" applyBorder="1" applyAlignment="1">
      <alignment horizontal="center" vertical="center"/>
    </xf>
    <xf numFmtId="169" fontId="25" fillId="23" borderId="46" xfId="5" applyNumberFormat="1" applyFont="1" applyFill="1" applyBorder="1" applyAlignment="1">
      <alignment horizontal="center" vertical="center"/>
    </xf>
    <xf numFmtId="169" fontId="11" fillId="23" borderId="55" xfId="5" applyNumberFormat="1" applyFont="1" applyFill="1" applyBorder="1" applyAlignment="1">
      <alignment horizontal="center" vertical="center"/>
    </xf>
    <xf numFmtId="169" fontId="11" fillId="23" borderId="21" xfId="5" applyNumberFormat="1" applyFont="1" applyFill="1" applyBorder="1" applyAlignment="1">
      <alignment horizontal="center" vertical="center"/>
    </xf>
    <xf numFmtId="169" fontId="11" fillId="23" borderId="46" xfId="5" applyNumberFormat="1" applyFont="1" applyFill="1" applyBorder="1" applyAlignment="1">
      <alignment horizontal="center" vertical="center"/>
    </xf>
    <xf numFmtId="170" fontId="11" fillId="23" borderId="55" xfId="5" applyNumberFormat="1" applyFont="1" applyFill="1" applyBorder="1" applyAlignment="1">
      <alignment horizontal="center" vertical="center"/>
    </xf>
    <xf numFmtId="170" fontId="11" fillId="23" borderId="21" xfId="5" applyNumberFormat="1" applyFont="1" applyFill="1" applyBorder="1" applyAlignment="1">
      <alignment horizontal="center" vertical="center"/>
    </xf>
    <xf numFmtId="170" fontId="11" fillId="23" borderId="46" xfId="5" applyNumberFormat="1" applyFont="1" applyFill="1" applyBorder="1" applyAlignment="1">
      <alignment horizontal="center" vertical="center"/>
    </xf>
    <xf numFmtId="9" fontId="26" fillId="23" borderId="70" xfId="8" applyNumberFormat="1" applyFont="1" applyFill="1" applyBorder="1" applyAlignment="1">
      <alignment horizontal="center" vertical="center" wrapText="1"/>
    </xf>
    <xf numFmtId="9" fontId="26" fillId="23" borderId="43" xfId="8" applyNumberFormat="1" applyFont="1" applyFill="1" applyBorder="1" applyAlignment="1">
      <alignment horizontal="center" vertical="center" wrapText="1"/>
    </xf>
    <xf numFmtId="9" fontId="26" fillId="23" borderId="54" xfId="8" applyNumberFormat="1" applyFont="1" applyFill="1" applyBorder="1" applyAlignment="1">
      <alignment horizontal="center" vertical="center" wrapText="1"/>
    </xf>
    <xf numFmtId="0" fontId="13" fillId="6" borderId="62" xfId="1" applyFont="1" applyFill="1" applyBorder="1" applyAlignment="1">
      <alignment horizontal="center" vertical="center" wrapText="1"/>
    </xf>
    <xf numFmtId="0" fontId="24" fillId="0" borderId="18" xfId="1" applyFont="1" applyBorder="1" applyAlignment="1">
      <alignment horizontal="center" vertical="center" textRotation="90"/>
    </xf>
    <xf numFmtId="0" fontId="33" fillId="6" borderId="22" xfId="1" applyFont="1" applyFill="1" applyBorder="1" applyAlignment="1">
      <alignment horizontal="center" vertical="center"/>
    </xf>
    <xf numFmtId="0" fontId="33" fillId="6" borderId="23" xfId="1" applyFont="1" applyFill="1" applyBorder="1" applyAlignment="1">
      <alignment horizontal="center" vertical="center"/>
    </xf>
    <xf numFmtId="0" fontId="33" fillId="6" borderId="62" xfId="1" applyFont="1" applyFill="1" applyBorder="1" applyAlignment="1">
      <alignment horizontal="center" vertical="center"/>
    </xf>
    <xf numFmtId="170" fontId="11" fillId="16" borderId="49" xfId="5" applyNumberFormat="1" applyFont="1" applyFill="1" applyBorder="1" applyAlignment="1">
      <alignment horizontal="center" vertical="center"/>
    </xf>
    <xf numFmtId="170" fontId="11" fillId="16" borderId="20" xfId="5" applyNumberFormat="1" applyFont="1" applyFill="1" applyBorder="1" applyAlignment="1">
      <alignment horizontal="center" vertical="center"/>
    </xf>
    <xf numFmtId="170" fontId="11" fillId="16" borderId="44" xfId="5" applyNumberFormat="1" applyFont="1" applyFill="1" applyBorder="1" applyAlignment="1">
      <alignment horizontal="center" vertical="center"/>
    </xf>
    <xf numFmtId="169" fontId="25" fillId="16" borderId="49" xfId="5" applyNumberFormat="1" applyFont="1" applyFill="1" applyBorder="1" applyAlignment="1">
      <alignment horizontal="center" vertical="center"/>
    </xf>
    <xf numFmtId="169" fontId="25" fillId="16" borderId="20" xfId="5" applyNumberFormat="1" applyFont="1" applyFill="1" applyBorder="1" applyAlignment="1">
      <alignment horizontal="center" vertical="center"/>
    </xf>
    <xf numFmtId="169" fontId="25" fillId="16" borderId="44" xfId="5" applyNumberFormat="1" applyFont="1" applyFill="1" applyBorder="1" applyAlignment="1">
      <alignment horizontal="center" vertical="center"/>
    </xf>
    <xf numFmtId="169" fontId="11" fillId="16" borderId="49" xfId="5" applyNumberFormat="1" applyFont="1" applyFill="1" applyBorder="1" applyAlignment="1">
      <alignment horizontal="center" vertical="center"/>
    </xf>
    <xf numFmtId="169" fontId="11" fillId="16" borderId="20" xfId="5" applyNumberFormat="1" applyFont="1" applyFill="1" applyBorder="1" applyAlignment="1">
      <alignment horizontal="center" vertical="center"/>
    </xf>
    <xf numFmtId="169" fontId="11" fillId="16" borderId="44" xfId="5" applyNumberFormat="1" applyFont="1" applyFill="1" applyBorder="1" applyAlignment="1">
      <alignment horizontal="center" vertical="center"/>
    </xf>
    <xf numFmtId="9" fontId="26" fillId="16" borderId="47" xfId="8" applyNumberFormat="1" applyFont="1" applyFill="1" applyBorder="1" applyAlignment="1">
      <alignment horizontal="center" vertical="center" wrapText="1"/>
    </xf>
    <xf numFmtId="9" fontId="26" fillId="16" borderId="28" xfId="8" applyNumberFormat="1" applyFont="1" applyFill="1" applyBorder="1" applyAlignment="1">
      <alignment horizontal="center" vertical="center" wrapText="1"/>
    </xf>
    <xf numFmtId="9" fontId="26" fillId="16" borderId="50" xfId="8" applyNumberFormat="1" applyFont="1" applyFill="1" applyBorder="1" applyAlignment="1">
      <alignment horizontal="center" vertical="center" wrapText="1"/>
    </xf>
    <xf numFmtId="170" fontId="11" fillId="25" borderId="25" xfId="5" applyNumberFormat="1" applyFont="1" applyFill="1" applyBorder="1" applyAlignment="1">
      <alignment horizontal="center" vertical="center"/>
    </xf>
    <xf numFmtId="170" fontId="11" fillId="25" borderId="20" xfId="5" applyNumberFormat="1" applyFont="1" applyFill="1" applyBorder="1" applyAlignment="1">
      <alignment horizontal="center" vertical="center"/>
    </xf>
    <xf numFmtId="170" fontId="11" fillId="25" borderId="44" xfId="5" applyNumberFormat="1" applyFont="1" applyFill="1" applyBorder="1" applyAlignment="1">
      <alignment horizontal="center" vertical="center"/>
    </xf>
    <xf numFmtId="169" fontId="25" fillId="25" borderId="25" xfId="5" applyNumberFormat="1" applyFont="1" applyFill="1" applyBorder="1" applyAlignment="1">
      <alignment horizontal="center" vertical="center"/>
    </xf>
    <xf numFmtId="169" fontId="25" fillId="25" borderId="20" xfId="5" applyNumberFormat="1" applyFont="1" applyFill="1" applyBorder="1" applyAlignment="1">
      <alignment horizontal="center" vertical="center"/>
    </xf>
    <xf numFmtId="169" fontId="25" fillId="25" borderId="44" xfId="5" applyNumberFormat="1" applyFont="1" applyFill="1" applyBorder="1" applyAlignment="1">
      <alignment horizontal="center" vertical="center"/>
    </xf>
    <xf numFmtId="169" fontId="25" fillId="25" borderId="25" xfId="1" applyNumberFormat="1" applyFont="1" applyFill="1" applyBorder="1" applyAlignment="1">
      <alignment horizontal="center" vertical="center"/>
    </xf>
    <xf numFmtId="169" fontId="25" fillId="25" borderId="20" xfId="1" applyNumberFormat="1" applyFont="1" applyFill="1" applyBorder="1" applyAlignment="1">
      <alignment horizontal="center" vertical="center"/>
    </xf>
    <xf numFmtId="169" fontId="25" fillId="25" borderId="44" xfId="1" applyNumberFormat="1" applyFont="1" applyFill="1" applyBorder="1" applyAlignment="1">
      <alignment horizontal="center" vertical="center"/>
    </xf>
    <xf numFmtId="9" fontId="26" fillId="25" borderId="26" xfId="8" applyNumberFormat="1" applyFont="1" applyFill="1" applyBorder="1" applyAlignment="1">
      <alignment horizontal="center" vertical="center" wrapText="1"/>
    </xf>
    <xf numFmtId="9" fontId="26" fillId="25" borderId="28" xfId="8" applyNumberFormat="1" applyFont="1" applyFill="1" applyBorder="1" applyAlignment="1">
      <alignment horizontal="center" vertical="center" wrapText="1"/>
    </xf>
    <xf numFmtId="9" fontId="26" fillId="25" borderId="48" xfId="8" applyNumberFormat="1" applyFont="1" applyFill="1" applyBorder="1" applyAlignment="1">
      <alignment horizontal="center" vertical="center" wrapText="1"/>
    </xf>
    <xf numFmtId="1" fontId="7" fillId="5" borderId="6" xfId="0" applyNumberFormat="1" applyFont="1" applyFill="1" applyBorder="1" applyAlignment="1">
      <alignment horizontal="left" vertical="center" wrapText="1"/>
    </xf>
    <xf numFmtId="1" fontId="7" fillId="5" borderId="0" xfId="0" applyNumberFormat="1" applyFont="1" applyFill="1" applyAlignment="1">
      <alignment horizontal="left" vertical="center" wrapText="1"/>
    </xf>
  </cellXfs>
  <cellStyles count="10">
    <cellStyle name="20% - Colore 4 2" xfId="6" xr:uid="{3B8296BF-6505-004E-A24D-35C9CBDA1A0D}"/>
    <cellStyle name="40% - Colore 1" xfId="8" builtinId="31"/>
    <cellStyle name="60% - Colore 6" xfId="9" builtinId="52"/>
    <cellStyle name="Migliaia [0] 2" xfId="3" xr:uid="{3136E7B6-6088-8941-94F2-20BCAB355FD0}"/>
    <cellStyle name="Migliaia 2" xfId="2" xr:uid="{DF458134-2B25-254A-BDFB-B9D84A7AE805}"/>
    <cellStyle name="Normale" xfId="0" builtinId="0"/>
    <cellStyle name="Normale 2" xfId="1" xr:uid="{94790ADF-6521-0345-9262-DA272A647F3A}"/>
    <cellStyle name="Normale 3" xfId="7" xr:uid="{FF7B24A6-0AE1-CC42-9DBE-9AA5B19BDE16}"/>
    <cellStyle name="Nota 2" xfId="4" xr:uid="{0637F3A0-CA76-264F-9694-C805032838CF}"/>
    <cellStyle name="Valuta 2" xfId="5" xr:uid="{94C60B04-5880-3D4E-B860-3D016A716747}"/>
  </cellStyles>
  <dxfs count="5"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FF4E4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EAF2E0"/>
      <color rgb="FF0066CC"/>
      <color rgb="FF2D80C9"/>
      <color rgb="FFFF9D98"/>
      <color rgb="FFFF4E40"/>
      <color rgb="FFFF6964"/>
      <color rgb="FFF5F510"/>
      <color rgb="FFFBFBFB"/>
      <color rgb="FFFA0000"/>
      <color rgb="FF63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Monitoraggio avanzamento: Posa rete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1230262971542722E-2"/>
          <c:y val="2.0414815382925951E-2"/>
          <c:w val="0.93876967760873853"/>
          <c:h val="0.62753326064784232"/>
        </c:manualLayout>
      </c:layout>
      <c:barChart>
        <c:barDir val="col"/>
        <c:grouping val="clustered"/>
        <c:varyColors val="0"/>
        <c:ser>
          <c:idx val="0"/>
          <c:order val="0"/>
          <c:tx>
            <c:v>Posa rete mt</c:v>
          </c:tx>
          <c:spPr>
            <a:solidFill>
              <a:srgbClr val="0066CC"/>
            </a:solidFill>
            <a:ln>
              <a:noFill/>
            </a:ln>
            <a:effectLst/>
          </c:spPr>
          <c:invertIfNegative val="0"/>
          <c:cat>
            <c:strRef>
              <c:f>Dati!$A$2:$A$30</c:f>
              <c:strCache>
                <c:ptCount val="29"/>
                <c:pt idx="0">
                  <c:v>Week 25</c:v>
                </c:pt>
                <c:pt idx="1">
                  <c:v>Week 26</c:v>
                </c:pt>
                <c:pt idx="2">
                  <c:v>Week 27</c:v>
                </c:pt>
                <c:pt idx="3">
                  <c:v>Week 28</c:v>
                </c:pt>
                <c:pt idx="4">
                  <c:v>Week 29</c:v>
                </c:pt>
                <c:pt idx="5">
                  <c:v>Week 30</c:v>
                </c:pt>
                <c:pt idx="6">
                  <c:v>Week 31</c:v>
                </c:pt>
                <c:pt idx="7">
                  <c:v>Week 32</c:v>
                </c:pt>
                <c:pt idx="8">
                  <c:v>Week 33</c:v>
                </c:pt>
                <c:pt idx="9">
                  <c:v>Week 34</c:v>
                </c:pt>
                <c:pt idx="10">
                  <c:v>Week 35</c:v>
                </c:pt>
                <c:pt idx="11">
                  <c:v>Week 36</c:v>
                </c:pt>
                <c:pt idx="12">
                  <c:v>Week 37</c:v>
                </c:pt>
                <c:pt idx="13">
                  <c:v>Week 38</c:v>
                </c:pt>
                <c:pt idx="14">
                  <c:v>Week 39</c:v>
                </c:pt>
                <c:pt idx="15">
                  <c:v>Week 40</c:v>
                </c:pt>
                <c:pt idx="16">
                  <c:v>Week 41</c:v>
                </c:pt>
                <c:pt idx="17">
                  <c:v>Week 42</c:v>
                </c:pt>
                <c:pt idx="18">
                  <c:v>Week 43</c:v>
                </c:pt>
                <c:pt idx="19">
                  <c:v>Week 44</c:v>
                </c:pt>
                <c:pt idx="20">
                  <c:v>Week 45</c:v>
                </c:pt>
                <c:pt idx="21">
                  <c:v>Week 46</c:v>
                </c:pt>
                <c:pt idx="22">
                  <c:v>Week 47</c:v>
                </c:pt>
                <c:pt idx="23">
                  <c:v>Week 48</c:v>
                </c:pt>
                <c:pt idx="24">
                  <c:v>Week 49</c:v>
                </c:pt>
                <c:pt idx="25">
                  <c:v>Week 50</c:v>
                </c:pt>
                <c:pt idx="26">
                  <c:v>Week 51</c:v>
                </c:pt>
                <c:pt idx="27">
                  <c:v>Week 52</c:v>
                </c:pt>
                <c:pt idx="28">
                  <c:v>Week 53</c:v>
                </c:pt>
              </c:strCache>
            </c:strRef>
          </c:cat>
          <c:val>
            <c:numRef>
              <c:f>Dati!$B$2:$B$30</c:f>
              <c:numCache>
                <c:formatCode>0.00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0D-314C-9737-F84026AE3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771181311"/>
        <c:axId val="1778491263"/>
      </c:barChart>
      <c:lineChart>
        <c:grouping val="standard"/>
        <c:varyColors val="0"/>
        <c:ser>
          <c:idx val="1"/>
          <c:order val="1"/>
          <c:tx>
            <c:v>Resa di produzione</c:v>
          </c:tx>
          <c:spPr>
            <a:ln w="28575" cap="rnd">
              <a:solidFill>
                <a:srgbClr val="E97132"/>
              </a:solidFill>
              <a:round/>
            </a:ln>
            <a:effectLst/>
          </c:spPr>
          <c:marker>
            <c:symbol val="none"/>
          </c:marker>
          <c:cat>
            <c:strRef>
              <c:f>'Registro operativo'!$A$3:$A$8</c:f>
              <c:strCache>
                <c:ptCount val="6"/>
                <c:pt idx="0">
                  <c:v>Week 31</c:v>
                </c:pt>
                <c:pt idx="1">
                  <c:v>Week 32</c:v>
                </c:pt>
                <c:pt idx="2">
                  <c:v>Week 33</c:v>
                </c:pt>
                <c:pt idx="3">
                  <c:v>Week 34</c:v>
                </c:pt>
                <c:pt idx="4">
                  <c:v>Week 35</c:v>
                </c:pt>
                <c:pt idx="5">
                  <c:v>Week 36</c:v>
                </c:pt>
              </c:strCache>
            </c:strRef>
          </c:cat>
          <c:val>
            <c:numRef>
              <c:f>Dati!$K$2:$K$30</c:f>
              <c:numCache>
                <c:formatCode>0.00</c:formatCode>
                <c:ptCount val="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0D-314C-9737-F84026AE3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738752"/>
        <c:axId val="744735168"/>
      </c:lineChart>
      <c:catAx>
        <c:axId val="1771181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it-IT"/>
          </a:p>
        </c:txPr>
        <c:crossAx val="1778491263"/>
        <c:crosses val="autoZero"/>
        <c:auto val="0"/>
        <c:lblAlgn val="ctr"/>
        <c:lblOffset val="100"/>
        <c:noMultiLvlLbl val="0"/>
      </c:catAx>
      <c:valAx>
        <c:axId val="177849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it-IT"/>
          </a:p>
        </c:txPr>
        <c:crossAx val="1771181311"/>
        <c:crosses val="autoZero"/>
        <c:crossBetween val="between"/>
        <c:minorUnit val="1"/>
      </c:valAx>
      <c:valAx>
        <c:axId val="74473516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4738752"/>
        <c:crosses val="max"/>
        <c:crossBetween val="between"/>
      </c:valAx>
      <c:catAx>
        <c:axId val="744738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447351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it-IT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2D80C9"/>
            </a:solidFill>
            <a:ln>
              <a:noFill/>
            </a:ln>
            <a:effectLst/>
          </c:spPr>
          <c:invertIfNegative val="0"/>
          <c:cat>
            <c:strRef>
              <c:f>Dashboard!$A$30:$A$37</c:f>
              <c:strCache>
                <c:ptCount val="8"/>
                <c:pt idx="0">
                  <c:v>Meteo avverso</c:v>
                </c:pt>
                <c:pt idx="1">
                  <c:v>Mancato Appr. Materiali</c:v>
                </c:pt>
                <c:pt idx="2">
                  <c:v>Mancanza Documentazione / Permessi</c:v>
                </c:pt>
                <c:pt idx="3">
                  <c:v>Mancanza permessi privati</c:v>
                </c:pt>
                <c:pt idx="4">
                  <c:v>Mancanza presidio</c:v>
                </c:pt>
                <c:pt idx="5">
                  <c:v>Mancanza Squadre</c:v>
                </c:pt>
                <c:pt idx="6">
                  <c:v>Interferenze sottoservizi non censiti</c:v>
                </c:pt>
                <c:pt idx="7">
                  <c:v>Sospensione per eventi o festività locali</c:v>
                </c:pt>
              </c:strCache>
            </c:strRef>
          </c:cat>
          <c:val>
            <c:numRef>
              <c:f>Dashboard!$C$30:$C$37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F-5444-A714-FEEAF6087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24607360"/>
        <c:axId val="524607808"/>
      </c:barChart>
      <c:catAx>
        <c:axId val="52460736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it-IT"/>
          </a:p>
        </c:txPr>
        <c:crossAx val="524607808"/>
        <c:crosses val="autoZero"/>
        <c:auto val="1"/>
        <c:lblAlgn val="ctr"/>
        <c:lblOffset val="100"/>
        <c:noMultiLvlLbl val="0"/>
      </c:catAx>
      <c:valAx>
        <c:axId val="5246078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it-IT"/>
          </a:p>
        </c:txPr>
        <c:crossAx val="52460736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Arial" panose="020B0604020202020204" pitchFamily="34" charset="0"/>
              </a:defRPr>
            </a:pPr>
            <a:r>
              <a:rPr lang="it-IT"/>
              <a:t>Avanzamento posa rete (mt)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Arial" panose="020B0604020202020204" pitchFamily="34" charset="0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Avanzamento pianificato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Dati!$E$2:$E$30</c:f>
              <c:numCache>
                <c:formatCode>0.00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172.25</c:v>
                </c:pt>
                <c:pt idx="12">
                  <c:v>344.5</c:v>
                </c:pt>
                <c:pt idx="13">
                  <c:v>516.75</c:v>
                </c:pt>
                <c:pt idx="14">
                  <c:v>689</c:v>
                </c:pt>
                <c:pt idx="15">
                  <c:v>861.25</c:v>
                </c:pt>
                <c:pt idx="16">
                  <c:v>1033.5</c:v>
                </c:pt>
                <c:pt idx="17">
                  <c:v>1205.75</c:v>
                </c:pt>
                <c:pt idx="18">
                  <c:v>1378</c:v>
                </c:pt>
                <c:pt idx="19">
                  <c:v>1550.25</c:v>
                </c:pt>
                <c:pt idx="20">
                  <c:v>1722.5</c:v>
                </c:pt>
                <c:pt idx="21">
                  <c:v>1894.75</c:v>
                </c:pt>
                <c:pt idx="22">
                  <c:v>2067</c:v>
                </c:pt>
                <c:pt idx="23">
                  <c:v>2239.25</c:v>
                </c:pt>
                <c:pt idx="24">
                  <c:v>2411.5</c:v>
                </c:pt>
                <c:pt idx="25">
                  <c:v>2549.3000000000002</c:v>
                </c:pt>
                <c:pt idx="26">
                  <c:v>2721.55</c:v>
                </c:pt>
                <c:pt idx="27">
                  <c:v>2859.3500000000004</c:v>
                </c:pt>
                <c:pt idx="28">
                  <c:v>2997.1500000000005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F5-8D4D-830E-6CEC1EFD57CD}"/>
            </c:ext>
          </c:extLst>
        </c:ser>
        <c:ser>
          <c:idx val="0"/>
          <c:order val="1"/>
          <c:tx>
            <c:v>Avanzamento reale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Dati!$A$2:$A$30</c:f>
              <c:strCache>
                <c:ptCount val="29"/>
                <c:pt idx="0">
                  <c:v>Week 25</c:v>
                </c:pt>
                <c:pt idx="1">
                  <c:v>Week 26</c:v>
                </c:pt>
                <c:pt idx="2">
                  <c:v>Week 27</c:v>
                </c:pt>
                <c:pt idx="3">
                  <c:v>Week 28</c:v>
                </c:pt>
                <c:pt idx="4">
                  <c:v>Week 29</c:v>
                </c:pt>
                <c:pt idx="5">
                  <c:v>Week 30</c:v>
                </c:pt>
                <c:pt idx="6">
                  <c:v>Week 31</c:v>
                </c:pt>
                <c:pt idx="7">
                  <c:v>Week 32</c:v>
                </c:pt>
                <c:pt idx="8">
                  <c:v>Week 33</c:v>
                </c:pt>
                <c:pt idx="9">
                  <c:v>Week 34</c:v>
                </c:pt>
                <c:pt idx="10">
                  <c:v>Week 35</c:v>
                </c:pt>
                <c:pt idx="11">
                  <c:v>Week 36</c:v>
                </c:pt>
                <c:pt idx="12">
                  <c:v>Week 37</c:v>
                </c:pt>
                <c:pt idx="13">
                  <c:v>Week 38</c:v>
                </c:pt>
                <c:pt idx="14">
                  <c:v>Week 39</c:v>
                </c:pt>
                <c:pt idx="15">
                  <c:v>Week 40</c:v>
                </c:pt>
                <c:pt idx="16">
                  <c:v>Week 41</c:v>
                </c:pt>
                <c:pt idx="17">
                  <c:v>Week 42</c:v>
                </c:pt>
                <c:pt idx="18">
                  <c:v>Week 43</c:v>
                </c:pt>
                <c:pt idx="19">
                  <c:v>Week 44</c:v>
                </c:pt>
                <c:pt idx="20">
                  <c:v>Week 45</c:v>
                </c:pt>
                <c:pt idx="21">
                  <c:v>Week 46</c:v>
                </c:pt>
                <c:pt idx="22">
                  <c:v>Week 47</c:v>
                </c:pt>
                <c:pt idx="23">
                  <c:v>Week 48</c:v>
                </c:pt>
                <c:pt idx="24">
                  <c:v>Week 49</c:v>
                </c:pt>
                <c:pt idx="25">
                  <c:v>Week 50</c:v>
                </c:pt>
                <c:pt idx="26">
                  <c:v>Week 51</c:v>
                </c:pt>
                <c:pt idx="27">
                  <c:v>Week 52</c:v>
                </c:pt>
                <c:pt idx="28">
                  <c:v>Week 53</c:v>
                </c:pt>
              </c:strCache>
            </c:strRef>
          </c:cat>
          <c:val>
            <c:numRef>
              <c:f>Dati!$C$2:$C$30</c:f>
              <c:numCache>
                <c:formatCode>0.00</c:formatCode>
                <c:ptCount val="2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F5-8D4D-830E-6CEC1EFD5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1501376"/>
        <c:axId val="2077131648"/>
      </c:lineChart>
      <c:catAx>
        <c:axId val="207150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Arial" panose="020B0604020202020204" pitchFamily="34" charset="0"/>
              </a:defRPr>
            </a:pPr>
            <a:endParaRPr lang="it-IT"/>
          </a:p>
        </c:txPr>
        <c:crossAx val="2077131648"/>
        <c:crosses val="autoZero"/>
        <c:auto val="1"/>
        <c:lblAlgn val="ctr"/>
        <c:lblOffset val="100"/>
        <c:noMultiLvlLbl val="0"/>
      </c:catAx>
      <c:valAx>
        <c:axId val="2077131648"/>
        <c:scaling>
          <c:orientation val="minMax"/>
          <c:max val="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Arial" panose="020B0604020202020204" pitchFamily="34" charset="0"/>
              </a:defRPr>
            </a:pPr>
            <a:endParaRPr lang="it-IT"/>
          </a:p>
        </c:txPr>
        <c:crossAx val="20715013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Arial" panose="020B0604020202020204" pitchFamily="34" charset="0"/>
              </a:defRPr>
            </a:pPr>
            <a:endParaRPr lang="it-IT"/>
          </a:p>
        </c:txPr>
      </c:dTable>
      <c:spPr>
        <a:noFill/>
        <a:ln w="28575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+mn-lt"/>
          <a:cs typeface="Arial" panose="020B0604020202020204" pitchFamily="34" charset="0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575747</xdr:colOff>
      <xdr:row>0</xdr:row>
      <xdr:rowOff>56696</xdr:rowOff>
    </xdr:from>
    <xdr:to>
      <xdr:col>9</xdr:col>
      <xdr:colOff>2007908</xdr:colOff>
      <xdr:row>2</xdr:row>
      <xdr:rowOff>88776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EB042327-AAB3-65BB-6282-D458380E9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19282" y="56696"/>
          <a:ext cx="1432161" cy="519555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7</xdr:row>
      <xdr:rowOff>114004</xdr:rowOff>
    </xdr:from>
    <xdr:to>
      <xdr:col>3</xdr:col>
      <xdr:colOff>2012275</xdr:colOff>
      <xdr:row>26</xdr:row>
      <xdr:rowOff>187528</xdr:rowOff>
    </xdr:to>
    <xdr:graphicFrame macro="">
      <xdr:nvGraphicFramePr>
        <xdr:cNvPr id="1052" name="Grafico 1">
          <a:extLst>
            <a:ext uri="{FF2B5EF4-FFF2-40B4-BE49-F238E27FC236}">
              <a16:creationId xmlns:a16="http://schemas.microsoft.com/office/drawing/2014/main" id="{8587EFEA-31C2-A846-8642-E7ADB87025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8</xdr:row>
          <xdr:rowOff>0</xdr:rowOff>
        </xdr:from>
        <xdr:to>
          <xdr:col>10</xdr:col>
          <xdr:colOff>0</xdr:colOff>
          <xdr:row>9</xdr:row>
          <xdr:rowOff>177800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3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Posa rete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14</xdr:row>
          <xdr:rowOff>12700</xdr:rowOff>
        </xdr:from>
        <xdr:to>
          <xdr:col>10</xdr:col>
          <xdr:colOff>0</xdr:colOff>
          <xdr:row>15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3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Collegamenti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11</xdr:row>
          <xdr:rowOff>0</xdr:rowOff>
        </xdr:from>
        <xdr:to>
          <xdr:col>10</xdr:col>
          <xdr:colOff>0</xdr:colOff>
          <xdr:row>12</xdr:row>
          <xdr:rowOff>177800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3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Messe in gas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0</xdr:rowOff>
        </xdr:from>
        <xdr:to>
          <xdr:col>10</xdr:col>
          <xdr:colOff>0</xdr:colOff>
          <xdr:row>18</xdr:row>
          <xdr:rowOff>190500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3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Posa IDU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20</xdr:row>
          <xdr:rowOff>12700</xdr:rowOff>
        </xdr:from>
        <xdr:to>
          <xdr:col>10</xdr:col>
          <xdr:colOff>0</xdr:colOff>
          <xdr:row>21</xdr:row>
          <xdr:rowOff>190500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3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Rimozione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23</xdr:row>
          <xdr:rowOff>12700</xdr:rowOff>
        </xdr:from>
        <xdr:to>
          <xdr:col>10</xdr:col>
          <xdr:colOff>0</xdr:colOff>
          <xdr:row>24</xdr:row>
          <xdr:rowOff>190500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3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Ripristini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220222</xdr:colOff>
      <xdr:row>27</xdr:row>
      <xdr:rowOff>188877</xdr:rowOff>
    </xdr:from>
    <xdr:to>
      <xdr:col>7</xdr:col>
      <xdr:colOff>2053616</xdr:colOff>
      <xdr:row>37</xdr:row>
      <xdr:rowOff>337765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D0419C3-230A-D8D9-1525-6A9A916100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174772</xdr:colOff>
      <xdr:row>7</xdr:row>
      <xdr:rowOff>96050</xdr:rowOff>
    </xdr:from>
    <xdr:to>
      <xdr:col>7</xdr:col>
      <xdr:colOff>2027341</xdr:colOff>
      <xdr:row>26</xdr:row>
      <xdr:rowOff>163119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2D7EBAC8-6B73-6340-B4C0-4E3F1B60DD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117864</xdr:colOff>
      <xdr:row>0</xdr:row>
      <xdr:rowOff>43221</xdr:rowOff>
    </xdr:from>
    <xdr:to>
      <xdr:col>5</xdr:col>
      <xdr:colOff>1544743</xdr:colOff>
      <xdr:row>2</xdr:row>
      <xdr:rowOff>88900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BB5A84A5-94DC-3547-9314-1016C0BDE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8564" y="43221"/>
          <a:ext cx="1426879" cy="5028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896651</xdr:colOff>
      <xdr:row>0</xdr:row>
      <xdr:rowOff>145405</xdr:rowOff>
    </xdr:from>
    <xdr:to>
      <xdr:col>6</xdr:col>
      <xdr:colOff>590782</xdr:colOff>
      <xdr:row>2</xdr:row>
      <xdr:rowOff>191084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971C3ED5-0D8E-6ECD-1BBF-68FEEB95E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3777" y="145405"/>
          <a:ext cx="1416660" cy="4982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BC313-70C1-5944-92D8-0F5530C41996}">
  <sheetPr codeName="Foglio1"/>
  <dimension ref="A1:AB39"/>
  <sheetViews>
    <sheetView topLeftCell="A7" zoomScale="99" zoomScaleNormal="85" workbookViewId="0">
      <selection activeCell="C41" sqref="C41"/>
    </sheetView>
  </sheetViews>
  <sheetFormatPr defaultColWidth="11" defaultRowHeight="15.95"/>
  <cols>
    <col min="1" max="8" width="27.375" style="1" customWidth="1"/>
    <col min="9" max="9" width="2.875" customWidth="1"/>
    <col min="10" max="10" width="27.375" customWidth="1"/>
  </cols>
  <sheetData>
    <row r="1" spans="1:28" ht="21" customHeight="1">
      <c r="A1" s="11" t="s">
        <v>0</v>
      </c>
      <c r="B1" s="12"/>
      <c r="C1" s="12"/>
      <c r="D1" s="12"/>
      <c r="E1" s="12"/>
      <c r="F1" s="12"/>
      <c r="G1" s="12"/>
      <c r="H1" s="12"/>
      <c r="I1" s="12"/>
    </row>
    <row r="2" spans="1:28" ht="17.100000000000001" customHeight="1">
      <c r="A2" s="147" t="s">
        <v>1</v>
      </c>
      <c r="B2" s="6"/>
      <c r="C2" s="6"/>
      <c r="D2" s="6"/>
      <c r="E2" s="6"/>
      <c r="F2" s="6"/>
      <c r="G2" s="6"/>
      <c r="H2" s="6"/>
      <c r="I2" s="6"/>
      <c r="J2" s="62"/>
    </row>
    <row r="3" spans="1:28">
      <c r="A3" s="13"/>
      <c r="B3" s="6"/>
      <c r="C3" s="6"/>
      <c r="D3" s="6"/>
      <c r="E3" s="6"/>
      <c r="F3" s="6"/>
      <c r="G3" s="6"/>
      <c r="H3" s="6"/>
      <c r="I3" s="6"/>
      <c r="J3" s="62"/>
    </row>
    <row r="4" spans="1:28">
      <c r="A4" s="14"/>
      <c r="B4" s="4"/>
      <c r="C4" s="4"/>
      <c r="D4" s="4"/>
      <c r="E4" s="4"/>
      <c r="F4" s="4"/>
      <c r="G4" s="4"/>
      <c r="H4" s="4"/>
      <c r="I4" s="6"/>
      <c r="J4" s="62"/>
    </row>
    <row r="5" spans="1:28" s="2" customFormat="1" ht="30.95" customHeight="1">
      <c r="A5" s="29" t="s">
        <v>2</v>
      </c>
      <c r="B5" s="30" t="s">
        <v>3</v>
      </c>
      <c r="C5" s="30" t="s">
        <v>4</v>
      </c>
      <c r="D5" s="30" t="s">
        <v>5</v>
      </c>
      <c r="E5" s="30" t="s">
        <v>6</v>
      </c>
      <c r="F5" s="30" t="s">
        <v>7</v>
      </c>
      <c r="G5" s="30" t="s">
        <v>8</v>
      </c>
      <c r="H5" s="30" t="s">
        <v>9</v>
      </c>
      <c r="I5" s="6"/>
      <c r="J5" s="173" t="s">
        <v>10</v>
      </c>
      <c r="K5" s="2" t="s">
        <v>11</v>
      </c>
      <c r="U5"/>
      <c r="V5"/>
      <c r="W5"/>
      <c r="X5"/>
      <c r="Y5"/>
      <c r="Z5"/>
      <c r="AA5"/>
      <c r="AB5"/>
    </row>
    <row r="6" spans="1:28" ht="27.95" customHeight="1">
      <c r="A6" s="31">
        <f>SUM('Registro operativo'!H3:H193)</f>
        <v>0</v>
      </c>
      <c r="B6" s="33">
        <f>SUM('Registro operativo'!I3:I193)</f>
        <v>0</v>
      </c>
      <c r="C6" s="31">
        <f>SUM('Registro operativo'!J3:J193)</f>
        <v>0</v>
      </c>
      <c r="D6" s="33">
        <f>SUM('Registro operativo'!K3:K193)</f>
        <v>0</v>
      </c>
      <c r="E6" s="31">
        <f>SUM('Registro operativo'!L3:L193)</f>
        <v>0</v>
      </c>
      <c r="F6" s="31">
        <f>SUM('Registro operativo'!M3:M193)</f>
        <v>0</v>
      </c>
      <c r="G6" s="32" cm="1">
        <f t="array" aca="1" ref="G6" ca="1">SUM(IF('Registro operativo'!A2:A5000&lt;&gt;"", IF(COUNTIF(INDIRECT("'Registro operativo'!A2:A"&amp;ROW('Registro operativo'!A2:A5000)), 'Registro operativo'!A2:A5000)=1, 'Registro operativo'!O2:O5000, 0), 0))</f>
        <v>0</v>
      </c>
      <c r="H6" s="32">
        <f>SUM('Registro operativo'!P3:P193)</f>
        <v>0</v>
      </c>
      <c r="I6" s="6"/>
      <c r="J6" s="174" t="e">
        <f ca="1">A6/G6</f>
        <v>#DIV/0!</v>
      </c>
    </row>
    <row r="7" spans="1:28">
      <c r="A7" s="13"/>
      <c r="B7" s="6"/>
      <c r="C7" s="6"/>
      <c r="D7" s="6"/>
      <c r="E7" s="6"/>
      <c r="F7" s="6"/>
      <c r="G7" s="6"/>
      <c r="H7" s="6"/>
      <c r="I7" s="6"/>
      <c r="J7" s="62"/>
    </row>
    <row r="8" spans="1:28">
      <c r="A8" s="13"/>
      <c r="B8" s="6"/>
      <c r="C8" s="6"/>
      <c r="D8" s="6"/>
      <c r="E8" s="6"/>
      <c r="F8" s="6"/>
      <c r="G8" s="6"/>
      <c r="H8" s="6"/>
      <c r="I8" s="6"/>
      <c r="J8" s="62"/>
    </row>
    <row r="9" spans="1:28">
      <c r="A9" s="13"/>
      <c r="B9" s="6"/>
      <c r="C9" s="6"/>
      <c r="D9" s="6"/>
      <c r="E9" s="6"/>
      <c r="F9" s="6"/>
      <c r="G9" s="6"/>
      <c r="H9" s="6"/>
      <c r="I9" s="6"/>
      <c r="J9" s="62"/>
    </row>
    <row r="10" spans="1:28">
      <c r="A10" s="13"/>
      <c r="B10" s="6"/>
      <c r="C10" s="6"/>
      <c r="D10" s="6"/>
      <c r="E10" s="6"/>
      <c r="F10" s="6"/>
      <c r="G10" s="6"/>
      <c r="H10" s="6"/>
      <c r="I10" s="6"/>
      <c r="J10" s="62"/>
    </row>
    <row r="11" spans="1:28">
      <c r="A11" s="13"/>
      <c r="B11" s="6"/>
      <c r="C11" s="6"/>
      <c r="D11" s="6"/>
      <c r="E11" s="6"/>
      <c r="F11" s="6"/>
      <c r="G11" s="6"/>
      <c r="H11" s="6"/>
      <c r="I11" s="6"/>
      <c r="J11" s="62"/>
    </row>
    <row r="12" spans="1:28">
      <c r="A12" s="13"/>
      <c r="B12" s="6"/>
      <c r="C12" s="6"/>
      <c r="D12" s="6"/>
      <c r="E12" s="6"/>
      <c r="F12" s="6"/>
      <c r="G12" s="6"/>
      <c r="H12" s="6"/>
      <c r="I12" s="6"/>
      <c r="J12" s="62"/>
    </row>
    <row r="13" spans="1:28">
      <c r="A13" s="13"/>
      <c r="B13" s="6"/>
      <c r="C13" s="6"/>
      <c r="D13" s="6"/>
      <c r="E13" s="6"/>
      <c r="F13" s="6"/>
      <c r="G13" s="6"/>
      <c r="H13" s="6"/>
      <c r="I13" s="6"/>
      <c r="J13" s="62"/>
    </row>
    <row r="14" spans="1:28">
      <c r="A14" s="13"/>
      <c r="B14" s="6"/>
      <c r="C14" s="6"/>
      <c r="D14" s="6"/>
      <c r="E14" s="6"/>
      <c r="F14" s="6"/>
      <c r="G14" s="6"/>
      <c r="H14" s="6"/>
      <c r="I14" s="6"/>
      <c r="J14" s="62"/>
    </row>
    <row r="15" spans="1:28">
      <c r="A15" s="13"/>
      <c r="B15" s="6"/>
      <c r="C15" s="6"/>
      <c r="D15" s="6"/>
      <c r="E15" s="6"/>
      <c r="F15" s="6"/>
      <c r="G15" s="6"/>
      <c r="H15" s="6"/>
      <c r="I15" s="6"/>
      <c r="J15" s="62"/>
    </row>
    <row r="16" spans="1:28">
      <c r="A16" s="13"/>
      <c r="B16" s="6"/>
      <c r="C16" s="6"/>
      <c r="D16" s="6"/>
      <c r="E16" s="6"/>
      <c r="F16" s="6"/>
      <c r="G16" s="6"/>
      <c r="H16" s="6"/>
      <c r="I16" s="6"/>
      <c r="J16" s="62"/>
    </row>
    <row r="17" spans="1:10">
      <c r="A17" s="13"/>
      <c r="B17" s="6"/>
      <c r="C17" s="6"/>
      <c r="D17" s="6"/>
      <c r="E17" s="6"/>
      <c r="F17" s="6"/>
      <c r="G17" s="6"/>
      <c r="H17" s="6"/>
      <c r="I17" s="6"/>
      <c r="J17" s="62"/>
    </row>
    <row r="18" spans="1:10">
      <c r="A18" s="13"/>
      <c r="B18" s="6"/>
      <c r="C18" s="6"/>
      <c r="D18" s="6"/>
      <c r="E18" s="6"/>
      <c r="F18" s="6"/>
      <c r="G18" s="6"/>
      <c r="H18" s="6"/>
      <c r="I18" s="6"/>
      <c r="J18" s="62"/>
    </row>
    <row r="19" spans="1:10">
      <c r="A19" s="13"/>
      <c r="B19" s="6"/>
      <c r="C19" s="6"/>
      <c r="D19" s="6"/>
      <c r="E19" s="6"/>
      <c r="F19" s="6"/>
      <c r="G19" s="6"/>
      <c r="H19" s="6"/>
      <c r="I19" s="6"/>
      <c r="J19" s="62"/>
    </row>
    <row r="20" spans="1:10">
      <c r="A20" s="13"/>
      <c r="B20" s="6"/>
      <c r="C20" s="6"/>
      <c r="D20" s="6"/>
      <c r="E20" s="6"/>
      <c r="F20" s="6"/>
      <c r="G20" s="6"/>
      <c r="H20" s="6"/>
      <c r="I20" s="6"/>
      <c r="J20" s="62"/>
    </row>
    <row r="21" spans="1:10">
      <c r="A21" s="13"/>
      <c r="B21" s="6"/>
      <c r="C21" s="6"/>
      <c r="D21" s="6"/>
      <c r="E21" s="6"/>
      <c r="F21" s="6"/>
      <c r="G21" s="6"/>
      <c r="H21" s="6"/>
      <c r="I21" s="6"/>
      <c r="J21" s="62"/>
    </row>
    <row r="22" spans="1:10">
      <c r="A22" s="13"/>
      <c r="B22" s="6"/>
      <c r="C22" s="6"/>
      <c r="D22" s="6"/>
      <c r="E22" s="6"/>
      <c r="F22" s="6"/>
      <c r="G22" s="6"/>
      <c r="H22" s="6"/>
      <c r="I22" s="6"/>
      <c r="J22" s="62"/>
    </row>
    <row r="23" spans="1:10">
      <c r="A23" s="13"/>
      <c r="B23" s="6"/>
      <c r="C23" s="6"/>
      <c r="D23" s="6"/>
      <c r="E23" s="6"/>
      <c r="F23" s="6"/>
      <c r="G23" s="6"/>
      <c r="H23" s="6"/>
      <c r="I23" s="6"/>
      <c r="J23" s="62"/>
    </row>
    <row r="24" spans="1:10">
      <c r="A24" s="13"/>
      <c r="B24" s="6"/>
      <c r="C24" s="6"/>
      <c r="D24" s="6"/>
      <c r="E24" s="6"/>
      <c r="F24" s="6"/>
      <c r="G24" s="6"/>
      <c r="H24" s="6"/>
      <c r="I24" s="6"/>
      <c r="J24" s="62"/>
    </row>
    <row r="25" spans="1:10">
      <c r="A25" s="13"/>
      <c r="B25" s="6"/>
      <c r="C25" s="6"/>
      <c r="D25" s="6"/>
      <c r="E25" s="6"/>
      <c r="F25" s="6"/>
      <c r="G25" s="6"/>
      <c r="H25" s="6"/>
      <c r="I25" s="6"/>
      <c r="J25" s="62"/>
    </row>
    <row r="26" spans="1:10">
      <c r="A26" s="13"/>
      <c r="B26" s="6"/>
      <c r="C26" s="6"/>
      <c r="D26" s="6"/>
      <c r="E26" s="6"/>
      <c r="F26" s="6"/>
      <c r="G26" s="6"/>
      <c r="H26" s="6"/>
      <c r="I26" s="6"/>
      <c r="J26" s="62"/>
    </row>
    <row r="27" spans="1:10">
      <c r="A27" s="13"/>
      <c r="B27" s="6"/>
      <c r="C27" s="6"/>
      <c r="D27" s="6"/>
      <c r="E27" s="6"/>
      <c r="F27" s="6"/>
      <c r="G27" s="6"/>
      <c r="H27" s="6"/>
      <c r="I27" s="6"/>
      <c r="J27" s="62"/>
    </row>
    <row r="28" spans="1:10">
      <c r="A28" s="15"/>
      <c r="B28" s="8"/>
      <c r="C28" s="8"/>
      <c r="D28" s="6"/>
      <c r="E28" s="6"/>
      <c r="F28" s="6"/>
      <c r="G28" s="6"/>
      <c r="H28" s="6"/>
      <c r="I28" s="6"/>
      <c r="J28" s="62"/>
    </row>
    <row r="29" spans="1:10" ht="29.1" customHeight="1">
      <c r="A29" s="163" t="s">
        <v>12</v>
      </c>
      <c r="B29" s="162"/>
      <c r="C29" s="162" t="s">
        <v>13</v>
      </c>
      <c r="D29" s="6"/>
      <c r="E29" s="6"/>
      <c r="F29" s="6"/>
      <c r="G29" s="6"/>
      <c r="H29" s="6"/>
      <c r="I29" s="6"/>
      <c r="J29" s="62"/>
    </row>
    <row r="30" spans="1:10" ht="29.1" customHeight="1">
      <c r="A30" s="7" t="s">
        <v>14</v>
      </c>
      <c r="B30" s="7"/>
      <c r="C30" s="47" cm="1">
        <f t="array" ref="C30">SUM(IF('Registro operativo'!Q3:Q51=Dashboard!A30, 1/COUNTIFS('Registro operativo'!Q3:Q51, Dashboard!A30, 'Registro operativo'!A3:A51, 'Registro operativo'!A3:A51), 0))</f>
        <v>0</v>
      </c>
      <c r="D30" s="6"/>
      <c r="E30" s="6"/>
      <c r="F30" s="8"/>
      <c r="G30" s="8"/>
      <c r="H30" s="8"/>
      <c r="I30" s="8"/>
      <c r="J30" s="62"/>
    </row>
    <row r="31" spans="1:10" ht="29.1" customHeight="1">
      <c r="A31" s="7" t="s">
        <v>15</v>
      </c>
      <c r="B31" s="7"/>
      <c r="C31" s="47" cm="1">
        <f t="array" ref="C31">SUM(IF('Registro operativo'!Q4:Q52=Dashboard!A31, 1/COUNTIFS('Registro operativo'!Q4:Q52, Dashboard!A31, 'Registro operativo'!A4:A52, 'Registro operativo'!A4:A52), 0))</f>
        <v>0</v>
      </c>
      <c r="D31" s="6"/>
      <c r="E31" s="6"/>
      <c r="F31" s="8"/>
      <c r="G31" s="8"/>
      <c r="H31" s="8"/>
      <c r="I31" s="8"/>
      <c r="J31" s="62"/>
    </row>
    <row r="32" spans="1:10" ht="29.1" customHeight="1">
      <c r="A32" s="7" t="s">
        <v>16</v>
      </c>
      <c r="B32" s="7"/>
      <c r="C32" s="47" cm="1">
        <f t="array" ref="C32">SUM(IF('Registro operativo'!Q5:Q53=Dashboard!A32, 1/COUNTIFS('Registro operativo'!Q5:Q53, Dashboard!A32, 'Registro operativo'!A5:A53, 'Registro operativo'!A5:A53), 0))</f>
        <v>0</v>
      </c>
      <c r="D32" s="6"/>
      <c r="E32" s="6"/>
      <c r="F32" s="8"/>
      <c r="G32" s="8"/>
      <c r="H32" s="8"/>
      <c r="I32" s="8"/>
      <c r="J32" s="62"/>
    </row>
    <row r="33" spans="1:10" ht="29.1" customHeight="1">
      <c r="A33" s="7" t="s">
        <v>17</v>
      </c>
      <c r="B33" s="7"/>
      <c r="C33" s="47" cm="1">
        <f t="array" ref="C33">SUM(IF('Registro operativo'!Q6:Q54=Dashboard!A33, 1/COUNTIFS('Registro operativo'!Q6:Q54, Dashboard!A33, 'Registro operativo'!A6:A54, 'Registro operativo'!A6:A54), 0))</f>
        <v>0</v>
      </c>
      <c r="D33" s="6"/>
      <c r="E33" s="6"/>
      <c r="F33" s="8"/>
      <c r="G33" s="8"/>
      <c r="H33" s="8"/>
      <c r="I33" s="8"/>
      <c r="J33" s="62"/>
    </row>
    <row r="34" spans="1:10" ht="29.1" customHeight="1">
      <c r="A34" s="7" t="s">
        <v>18</v>
      </c>
      <c r="B34" s="7"/>
      <c r="C34" s="47" cm="1">
        <f t="array" ref="C34">SUM(IF('Registro operativo'!Q7:Q55=Dashboard!A34, 1/COUNTIFS('Registro operativo'!Q7:Q55, Dashboard!A34, 'Registro operativo'!A7:A55, 'Registro operativo'!A7:A55), 0))</f>
        <v>0</v>
      </c>
      <c r="D34" s="8"/>
      <c r="E34" s="8"/>
      <c r="F34" s="8"/>
      <c r="G34" s="8"/>
      <c r="H34" s="8"/>
      <c r="I34" s="8"/>
      <c r="J34" s="62"/>
    </row>
    <row r="35" spans="1:10" ht="29.1" customHeight="1">
      <c r="A35" s="7" t="s">
        <v>19</v>
      </c>
      <c r="B35" s="7"/>
      <c r="C35" s="47" cm="1">
        <f t="array" ref="C35">SUM(IF('Registro operativo'!Q8:Q56=Dashboard!A35, 1/COUNTIFS('Registro operativo'!Q8:Q56, Dashboard!A35, 'Registro operativo'!A8:A56, 'Registro operativo'!A8:A56), 0))</f>
        <v>0</v>
      </c>
      <c r="D35" s="8"/>
      <c r="E35" s="8"/>
      <c r="F35" s="8"/>
      <c r="G35" s="8"/>
      <c r="H35" s="8"/>
      <c r="I35" s="8"/>
      <c r="J35" s="62"/>
    </row>
    <row r="36" spans="1:10" ht="29.1" customHeight="1">
      <c r="A36" s="7" t="s">
        <v>20</v>
      </c>
      <c r="B36" s="7"/>
      <c r="C36" s="47" cm="1">
        <f t="array" ref="C36">SUM(IF('Registro operativo'!Q11:Q57=Dashboard!A36, 1/COUNTIFS('Registro operativo'!Q11:Q57, Dashboard!A36, 'Registro operativo'!A11:A57, 'Registro operativo'!A11:A57), 0))</f>
        <v>0</v>
      </c>
      <c r="D36" s="8"/>
      <c r="E36" s="8"/>
      <c r="F36" s="8"/>
      <c r="G36" s="8"/>
      <c r="H36" s="8"/>
      <c r="I36" s="8"/>
      <c r="J36" s="62"/>
    </row>
    <row r="37" spans="1:10" ht="29.1" customHeight="1">
      <c r="A37" s="46" t="s">
        <v>21</v>
      </c>
      <c r="B37" s="46"/>
      <c r="C37" s="161" cm="1">
        <f t="array" ref="C37">SUM(IF('Registro operativo'!Q12:Q58=Dashboard!A37, 1/COUNTIFS('Registro operativo'!Q12:Q58, Dashboard!A37, 'Registro operativo'!A12:A58, 'Registro operativo'!A12:A58), 0))</f>
        <v>0</v>
      </c>
      <c r="D37" s="8"/>
      <c r="E37" s="8"/>
      <c r="F37" s="8"/>
      <c r="G37" s="8"/>
      <c r="H37" s="8"/>
      <c r="I37" s="8"/>
      <c r="J37" s="62"/>
    </row>
    <row r="38" spans="1:10" ht="29.1" customHeight="1">
      <c r="A38" s="366" t="s">
        <v>22</v>
      </c>
      <c r="B38" s="367"/>
      <c r="C38" s="9">
        <f>SUM(C30:C37)</f>
        <v>0</v>
      </c>
      <c r="D38" s="9"/>
      <c r="E38" s="8"/>
      <c r="F38" s="8"/>
      <c r="G38" s="8"/>
      <c r="H38" s="8"/>
      <c r="I38" s="8"/>
      <c r="J38" s="62"/>
    </row>
    <row r="39" spans="1:10">
      <c r="A39" s="16"/>
      <c r="B39" s="10"/>
      <c r="C39" s="10"/>
      <c r="D39" s="10"/>
      <c r="E39" s="10"/>
      <c r="F39" s="10"/>
      <c r="G39" s="10"/>
      <c r="H39" s="10"/>
      <c r="I39" s="10"/>
    </row>
  </sheetData>
  <mergeCells count="1">
    <mergeCell ref="A38:B38"/>
  </mergeCells>
  <pageMargins left="0.7" right="0.7" top="0.75" bottom="0.75" header="0.3" footer="0.3"/>
  <headerFooter>
    <oddFooter>&amp;C_x000D_&amp;1#&amp;"Aptos"&amp;10&amp;K000000 Italgas S.p.A - Informazioni Interne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3" name="Button 12">
              <controlPr defaultSize="0" print="0" autoFill="0" autoPict="0" macro="[0]!Tasto_F_L">
                <anchor moveWithCells="1" sizeWithCells="1">
                  <from>
                    <xdr:col>9</xdr:col>
                    <xdr:colOff>76200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Tasto_G_M">
                <anchor moveWithCells="1" sizeWithCells="1">
                  <from>
                    <xdr:col>9</xdr:col>
                    <xdr:colOff>76200</xdr:colOff>
                    <xdr:row>14</xdr:row>
                    <xdr:rowOff>12700</xdr:rowOff>
                  </from>
                  <to>
                    <xdr:col>10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Tasto_H_N">
                <anchor moveWithCells="1" sizeWithCells="1">
                  <from>
                    <xdr:col>9</xdr:col>
                    <xdr:colOff>76200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Tasto_I_O">
                <anchor moveWithCells="1" sizeWithCells="1">
                  <from>
                    <xdr:col>9</xdr:col>
                    <xdr:colOff>63500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Tasto_J_P">
                <anchor moveWithCells="1" sizeWithCells="1">
                  <from>
                    <xdr:col>9</xdr:col>
                    <xdr:colOff>76200</xdr:colOff>
                    <xdr:row>20</xdr:row>
                    <xdr:rowOff>12700</xdr:rowOff>
                  </from>
                  <to>
                    <xdr:col>10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Tasto_K_Q">
                <anchor moveWithCells="1" sizeWithCells="1">
                  <from>
                    <xdr:col>9</xdr:col>
                    <xdr:colOff>76200</xdr:colOff>
                    <xdr:row>23</xdr:row>
                    <xdr:rowOff>12700</xdr:rowOff>
                  </from>
                  <to>
                    <xdr:col>10</xdr:col>
                    <xdr:colOff>0</xdr:colOff>
                    <xdr:row>24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1321B-4217-534A-B9BE-8819F8688239}">
  <sheetPr codeName="Foglio2"/>
  <dimension ref="A1:T55"/>
  <sheetViews>
    <sheetView zoomScale="129" zoomScaleNormal="125" workbookViewId="0">
      <selection activeCell="A13" sqref="A13"/>
    </sheetView>
  </sheetViews>
  <sheetFormatPr defaultColWidth="11" defaultRowHeight="15.75" customHeight="1"/>
  <cols>
    <col min="1" max="1" width="14.875" style="35" customWidth="1"/>
    <col min="2" max="3" width="14.875" style="1" customWidth="1"/>
    <col min="4" max="4" width="21.375" style="35" customWidth="1"/>
    <col min="5" max="5" width="44" style="45" customWidth="1"/>
    <col min="6" max="7" width="15.125" style="35" customWidth="1"/>
    <col min="8" max="13" width="14.875" style="35" customWidth="1"/>
    <col min="14" max="14" width="12.5" style="1" customWidth="1"/>
    <col min="15" max="15" width="14.875" style="35" customWidth="1"/>
    <col min="16" max="16" width="14.875" style="1" hidden="1" customWidth="1"/>
    <col min="17" max="17" width="25.625" style="35" customWidth="1"/>
    <col min="18" max="18" width="25.625" style="3" customWidth="1"/>
    <col min="19" max="19" width="21" style="3" hidden="1" customWidth="1"/>
    <col min="20" max="20" width="33.375" customWidth="1"/>
  </cols>
  <sheetData>
    <row r="1" spans="1:20" ht="15.95" customHeight="1">
      <c r="E1" s="35"/>
      <c r="G1" s="38"/>
      <c r="H1" s="39"/>
      <c r="I1" s="39"/>
      <c r="J1" s="39"/>
      <c r="K1" s="39"/>
      <c r="L1" s="39"/>
      <c r="M1" s="39"/>
      <c r="N1" s="17"/>
      <c r="O1" s="39"/>
      <c r="P1" s="17"/>
      <c r="R1"/>
      <c r="S1"/>
    </row>
    <row r="2" spans="1:20" ht="33" customHeight="1">
      <c r="A2" s="36" t="s">
        <v>23</v>
      </c>
      <c r="B2" s="18" t="s">
        <v>24</v>
      </c>
      <c r="C2" s="18" t="s">
        <v>25</v>
      </c>
      <c r="D2" s="36" t="s">
        <v>26</v>
      </c>
      <c r="E2" s="40" t="s">
        <v>27</v>
      </c>
      <c r="F2" s="36" t="s">
        <v>28</v>
      </c>
      <c r="G2" s="36" t="s">
        <v>29</v>
      </c>
      <c r="H2" s="36" t="s">
        <v>30</v>
      </c>
      <c r="I2" s="36" t="s">
        <v>31</v>
      </c>
      <c r="J2" s="41" t="s">
        <v>32</v>
      </c>
      <c r="K2" s="36" t="s">
        <v>33</v>
      </c>
      <c r="L2" s="36" t="s">
        <v>34</v>
      </c>
      <c r="M2" s="36" t="s">
        <v>35</v>
      </c>
      <c r="N2" s="18" t="s">
        <v>36</v>
      </c>
      <c r="O2" s="36" t="s">
        <v>37</v>
      </c>
      <c r="P2" s="18" t="s">
        <v>38</v>
      </c>
      <c r="Q2" s="36" t="s">
        <v>39</v>
      </c>
      <c r="R2" s="19" t="s">
        <v>40</v>
      </c>
      <c r="S2" s="19" t="s">
        <v>41</v>
      </c>
      <c r="T2" s="40" t="s">
        <v>42</v>
      </c>
    </row>
    <row r="3" spans="1:20" ht="15.95">
      <c r="A3" s="34" t="s">
        <v>43</v>
      </c>
      <c r="B3" s="34">
        <f>IFERROR(DATE(2026,1,4)-WEEKDAY(DATE(2026,1,4),2)+1+(MID(A3,6,LEN(A3))-1)*7, "")</f>
        <v>46230</v>
      </c>
      <c r="C3" s="34">
        <f>IFERROR(B3+6, "")</f>
        <v>46236</v>
      </c>
      <c r="D3" s="37" t="s">
        <v>44</v>
      </c>
      <c r="E3" s="20"/>
      <c r="F3" s="63"/>
      <c r="G3" s="21"/>
      <c r="H3" s="42"/>
      <c r="I3" s="43"/>
      <c r="J3" s="42"/>
      <c r="K3" s="42"/>
      <c r="L3" s="42"/>
      <c r="M3" s="42"/>
      <c r="N3" s="23"/>
      <c r="O3" s="24"/>
      <c r="P3" s="25">
        <f>IF(O3="", 0, N3-O3)</f>
        <v>0</v>
      </c>
      <c r="Q3" s="63"/>
      <c r="R3" s="26" t="str">
        <f>IF(OR(O3="", N3=0), "", O3/N3)</f>
        <v/>
      </c>
      <c r="S3" s="22" t="str">
        <f t="shared" ref="S3:S18" si="0">IFERROR(IF(AND(G3&gt;0, O3&gt;0), (H3+J3+K3+L3+M3)/(G3*O3), ""), "")</f>
        <v/>
      </c>
      <c r="T3" s="20"/>
    </row>
    <row r="4" spans="1:20" ht="15.95">
      <c r="A4" s="34" t="s">
        <v>45</v>
      </c>
      <c r="B4" s="34">
        <f t="shared" ref="B4:B55" si="1">IFERROR(DATE(2026,1,4)-WEEKDAY(DATE(2026,1,4),2)+1+(MID(A4,6,LEN(A4))-1)*7, "")</f>
        <v>46237</v>
      </c>
      <c r="C4" s="34">
        <f t="shared" ref="C4:C55" si="2">IFERROR(B4+6, "")</f>
        <v>46243</v>
      </c>
      <c r="D4" s="37" t="s">
        <v>44</v>
      </c>
      <c r="E4" s="20"/>
      <c r="F4" s="63"/>
      <c r="G4" s="21"/>
      <c r="H4" s="42"/>
      <c r="I4" s="43"/>
      <c r="J4" s="42"/>
      <c r="K4" s="42"/>
      <c r="L4" s="42"/>
      <c r="M4" s="42"/>
      <c r="N4" s="23" t="str">
        <f t="shared" ref="N4:N55" si="3">IF(ISTEXT(E4), 5, "")</f>
        <v/>
      </c>
      <c r="O4" s="24"/>
      <c r="P4" s="25">
        <f t="shared" ref="P4:P55" si="4">IF(O4="", 0, N4-O4)</f>
        <v>0</v>
      </c>
      <c r="Q4" s="63"/>
      <c r="R4" s="26" t="str">
        <f t="shared" ref="R4:R55" si="5">IF(OR(O4="", N4=0), "", O4/N4)</f>
        <v/>
      </c>
      <c r="S4" s="22" t="str">
        <f t="shared" si="0"/>
        <v/>
      </c>
      <c r="T4" s="20"/>
    </row>
    <row r="5" spans="1:20" ht="15.95">
      <c r="A5" s="34" t="s">
        <v>46</v>
      </c>
      <c r="B5" s="34">
        <f t="shared" si="1"/>
        <v>46244</v>
      </c>
      <c r="C5" s="34">
        <f t="shared" si="2"/>
        <v>46250</v>
      </c>
      <c r="D5" s="37" t="s">
        <v>44</v>
      </c>
      <c r="E5" s="20"/>
      <c r="F5" s="63"/>
      <c r="G5" s="21"/>
      <c r="H5" s="42"/>
      <c r="I5" s="43"/>
      <c r="J5" s="42"/>
      <c r="K5" s="42"/>
      <c r="L5" s="42"/>
      <c r="M5" s="42"/>
      <c r="N5" s="23" t="str">
        <f t="shared" si="3"/>
        <v/>
      </c>
      <c r="O5" s="24"/>
      <c r="P5" s="25">
        <f>IF(O5="", 0, N5-O5)</f>
        <v>0</v>
      </c>
      <c r="Q5" s="63"/>
      <c r="R5" s="26" t="str">
        <f t="shared" si="5"/>
        <v/>
      </c>
      <c r="S5" s="22" t="str">
        <f t="shared" si="0"/>
        <v/>
      </c>
      <c r="T5" s="20"/>
    </row>
    <row r="6" spans="1:20" ht="15.95">
      <c r="A6" s="34" t="s">
        <v>47</v>
      </c>
      <c r="B6" s="34">
        <f t="shared" si="1"/>
        <v>46251</v>
      </c>
      <c r="C6" s="34">
        <f t="shared" si="2"/>
        <v>46257</v>
      </c>
      <c r="D6" s="37" t="s">
        <v>44</v>
      </c>
      <c r="E6" s="20"/>
      <c r="F6" s="63"/>
      <c r="G6" s="21"/>
      <c r="H6" s="42"/>
      <c r="I6" s="43"/>
      <c r="J6" s="42"/>
      <c r="K6" s="42"/>
      <c r="L6" s="42"/>
      <c r="M6" s="42"/>
      <c r="N6" s="23" t="str">
        <f t="shared" si="3"/>
        <v/>
      </c>
      <c r="O6" s="24"/>
      <c r="P6" s="25">
        <f t="shared" si="4"/>
        <v>0</v>
      </c>
      <c r="Q6" s="63"/>
      <c r="R6" s="26" t="str">
        <f t="shared" si="5"/>
        <v/>
      </c>
      <c r="S6" s="22" t="str">
        <f>IFERROR(IF(AND(G6&gt;0, O6&gt;0), (H6+J6+K6+L6+M6)/(G6*O6), ""), "")</f>
        <v/>
      </c>
      <c r="T6" s="20"/>
    </row>
    <row r="7" spans="1:20" ht="15.95">
      <c r="A7" s="34" t="s">
        <v>48</v>
      </c>
      <c r="B7" s="34">
        <f t="shared" si="1"/>
        <v>46258</v>
      </c>
      <c r="C7" s="34">
        <f t="shared" si="2"/>
        <v>46264</v>
      </c>
      <c r="D7" s="37" t="s">
        <v>44</v>
      </c>
      <c r="E7" s="20"/>
      <c r="F7" s="63"/>
      <c r="G7" s="21"/>
      <c r="H7" s="42"/>
      <c r="I7" s="43"/>
      <c r="J7" s="42"/>
      <c r="K7" s="42"/>
      <c r="L7" s="42"/>
      <c r="M7" s="42"/>
      <c r="N7" s="23" t="str">
        <f t="shared" si="3"/>
        <v/>
      </c>
      <c r="O7" s="24"/>
      <c r="P7" s="25">
        <f>IF(O7="", 0, N7-O7)</f>
        <v>0</v>
      </c>
      <c r="Q7" s="63"/>
      <c r="R7" s="26" t="str">
        <f t="shared" si="5"/>
        <v/>
      </c>
      <c r="S7" s="22" t="str">
        <f>IFERROR(IF(AND(G7&gt;0, O7&gt;0), (H7+J7+K7+L7+M7)/(G7*O7), ""), "")</f>
        <v/>
      </c>
      <c r="T7" s="20"/>
    </row>
    <row r="8" spans="1:20" ht="15.95">
      <c r="A8" s="34" t="s">
        <v>49</v>
      </c>
      <c r="B8" s="34">
        <f t="shared" si="1"/>
        <v>46265</v>
      </c>
      <c r="C8" s="34">
        <f t="shared" si="2"/>
        <v>46271</v>
      </c>
      <c r="D8" s="37" t="s">
        <v>44</v>
      </c>
      <c r="E8" s="20"/>
      <c r="F8" s="63"/>
      <c r="G8" s="21"/>
      <c r="H8" s="42"/>
      <c r="I8" s="43"/>
      <c r="J8" s="42"/>
      <c r="K8" s="42"/>
      <c r="L8" s="42"/>
      <c r="M8" s="42"/>
      <c r="N8" s="23" t="str">
        <f t="shared" si="3"/>
        <v/>
      </c>
      <c r="O8" s="24"/>
      <c r="P8" s="25">
        <f t="shared" si="4"/>
        <v>0</v>
      </c>
      <c r="Q8" s="63"/>
      <c r="R8" s="26" t="str">
        <f t="shared" si="5"/>
        <v/>
      </c>
      <c r="S8" s="22" t="str">
        <f t="shared" si="0"/>
        <v/>
      </c>
      <c r="T8" s="20"/>
    </row>
    <row r="9" spans="1:20" ht="15.95">
      <c r="A9" s="34" t="s">
        <v>50</v>
      </c>
      <c r="B9" s="34">
        <f t="shared" ref="B9" si="6">IFERROR(DATE(2026,1,4)-WEEKDAY(DATE(2026,1,4),2)+1+(MID(A9,6,LEN(A9))-1)*7, "")</f>
        <v>46272</v>
      </c>
      <c r="C9" s="34">
        <f t="shared" ref="C9" si="7">IFERROR(B9+6, "")</f>
        <v>46278</v>
      </c>
      <c r="D9" s="37" t="s">
        <v>44</v>
      </c>
      <c r="E9" s="20"/>
      <c r="F9" s="63"/>
      <c r="G9" s="21"/>
      <c r="H9" s="42"/>
      <c r="I9" s="43"/>
      <c r="J9" s="42"/>
      <c r="K9" s="42"/>
      <c r="L9" s="42"/>
      <c r="M9" s="42"/>
      <c r="N9" s="23" t="str">
        <f t="shared" ref="N9:N10" si="8">IF(ISTEXT(E9), 5, "")</f>
        <v/>
      </c>
      <c r="O9" s="24"/>
      <c r="P9" s="25">
        <f t="shared" ref="P9:P10" si="9">IF(O9="", 0, N9-O9)</f>
        <v>0</v>
      </c>
      <c r="Q9" s="63"/>
      <c r="R9" s="26" t="str">
        <f t="shared" ref="R9:R10" si="10">IF(OR(O9="", N9=0), "", O9/N9)</f>
        <v/>
      </c>
      <c r="S9" s="22" t="str">
        <f t="shared" ref="S9:S10" si="11">IFERROR(IF(AND(G9&gt;0, O9&gt;0), (H9+J9+K9+L9+M9)/(G9*O9), ""), "")</f>
        <v/>
      </c>
      <c r="T9" s="20"/>
    </row>
    <row r="10" spans="1:20" ht="15.95">
      <c r="A10" s="34" t="s">
        <v>51</v>
      </c>
      <c r="B10" s="34">
        <f t="shared" ref="B10" si="12">IFERROR(DATE(2026,1,4)-WEEKDAY(DATE(2026,1,4),2)+1+(MID(A10,6,LEN(A10))-1)*7, "")</f>
        <v>46279</v>
      </c>
      <c r="C10" s="34">
        <f t="shared" ref="C10" si="13">IFERROR(B10+6, "")</f>
        <v>46285</v>
      </c>
      <c r="D10" s="37" t="s">
        <v>44</v>
      </c>
      <c r="E10" s="20"/>
      <c r="F10" s="63"/>
      <c r="G10" s="21"/>
      <c r="H10" s="42"/>
      <c r="I10" s="43"/>
      <c r="J10" s="42"/>
      <c r="K10" s="42"/>
      <c r="L10" s="42"/>
      <c r="M10" s="42"/>
      <c r="N10" s="23" t="str">
        <f t="shared" si="8"/>
        <v/>
      </c>
      <c r="O10" s="24"/>
      <c r="P10" s="25">
        <f t="shared" si="9"/>
        <v>0</v>
      </c>
      <c r="Q10" s="63"/>
      <c r="R10" s="26" t="str">
        <f t="shared" si="10"/>
        <v/>
      </c>
      <c r="S10" s="22" t="str">
        <f t="shared" si="11"/>
        <v/>
      </c>
      <c r="T10" s="20"/>
    </row>
    <row r="11" spans="1:20" ht="15.95">
      <c r="A11" s="34" t="s">
        <v>52</v>
      </c>
      <c r="B11" s="34">
        <f t="shared" si="1"/>
        <v>46286</v>
      </c>
      <c r="C11" s="34">
        <f t="shared" si="2"/>
        <v>46292</v>
      </c>
      <c r="D11" s="37" t="s">
        <v>44</v>
      </c>
      <c r="E11" s="20"/>
      <c r="F11" s="63"/>
      <c r="G11" s="21"/>
      <c r="H11" s="42"/>
      <c r="I11" s="43"/>
      <c r="J11" s="42"/>
      <c r="K11" s="42"/>
      <c r="L11" s="42"/>
      <c r="M11" s="42"/>
      <c r="N11" s="23"/>
      <c r="O11" s="24"/>
      <c r="P11" s="25">
        <f t="shared" si="4"/>
        <v>0</v>
      </c>
      <c r="Q11" s="63"/>
      <c r="R11" s="26" t="str">
        <f t="shared" si="5"/>
        <v/>
      </c>
      <c r="S11" s="22" t="str">
        <f t="shared" si="0"/>
        <v/>
      </c>
      <c r="T11" s="20"/>
    </row>
    <row r="12" spans="1:20" ht="15.95">
      <c r="A12" s="34" t="s">
        <v>53</v>
      </c>
      <c r="B12" s="34">
        <f t="shared" si="1"/>
        <v>46293</v>
      </c>
      <c r="C12" s="34">
        <f t="shared" si="2"/>
        <v>46299</v>
      </c>
      <c r="D12" s="37" t="s">
        <v>44</v>
      </c>
      <c r="E12" s="20"/>
      <c r="F12" s="63"/>
      <c r="G12" s="21"/>
      <c r="H12" s="42"/>
      <c r="I12" s="43"/>
      <c r="J12" s="42"/>
      <c r="K12" s="42"/>
      <c r="L12" s="42"/>
      <c r="M12" s="42"/>
      <c r="N12" s="23" t="str">
        <f t="shared" si="3"/>
        <v/>
      </c>
      <c r="O12" s="24"/>
      <c r="P12" s="25">
        <f t="shared" si="4"/>
        <v>0</v>
      </c>
      <c r="Q12" s="63"/>
      <c r="R12" s="26" t="str">
        <f t="shared" si="5"/>
        <v/>
      </c>
      <c r="S12" s="22" t="str">
        <f t="shared" si="0"/>
        <v/>
      </c>
      <c r="T12" s="20"/>
    </row>
    <row r="13" spans="1:20" ht="15.95">
      <c r="A13" s="34" t="s">
        <v>54</v>
      </c>
      <c r="B13" s="34">
        <f t="shared" si="1"/>
        <v>46300</v>
      </c>
      <c r="C13" s="34">
        <f t="shared" si="2"/>
        <v>46306</v>
      </c>
      <c r="D13" s="37" t="s">
        <v>44</v>
      </c>
      <c r="E13" s="20"/>
      <c r="F13" s="63"/>
      <c r="G13" s="21"/>
      <c r="H13" s="42"/>
      <c r="I13" s="43"/>
      <c r="J13" s="42"/>
      <c r="K13" s="44"/>
      <c r="L13" s="42"/>
      <c r="M13" s="42"/>
      <c r="N13" s="23" t="str">
        <f t="shared" si="3"/>
        <v/>
      </c>
      <c r="O13" s="24"/>
      <c r="P13" s="25">
        <f t="shared" si="4"/>
        <v>0</v>
      </c>
      <c r="Q13" s="63"/>
      <c r="R13" s="26" t="str">
        <f t="shared" si="5"/>
        <v/>
      </c>
      <c r="S13" s="22" t="str">
        <f t="shared" si="0"/>
        <v/>
      </c>
      <c r="T13" s="20"/>
    </row>
    <row r="14" spans="1:20" ht="15.95">
      <c r="A14" s="34" t="s">
        <v>55</v>
      </c>
      <c r="B14" s="34">
        <f t="shared" si="1"/>
        <v>46307</v>
      </c>
      <c r="C14" s="34">
        <f t="shared" si="2"/>
        <v>46313</v>
      </c>
      <c r="D14" s="37" t="s">
        <v>44</v>
      </c>
      <c r="E14" s="20"/>
      <c r="F14" s="63"/>
      <c r="G14" s="21"/>
      <c r="H14" s="42"/>
      <c r="I14" s="43"/>
      <c r="J14" s="42"/>
      <c r="K14" s="44"/>
      <c r="L14" s="42"/>
      <c r="M14" s="42"/>
      <c r="N14" s="23" t="str">
        <f t="shared" si="3"/>
        <v/>
      </c>
      <c r="O14" s="24"/>
      <c r="P14" s="25">
        <f t="shared" si="4"/>
        <v>0</v>
      </c>
      <c r="Q14" s="63"/>
      <c r="R14" s="26" t="str">
        <f t="shared" si="5"/>
        <v/>
      </c>
      <c r="S14" s="22" t="str">
        <f t="shared" si="0"/>
        <v/>
      </c>
      <c r="T14" s="20"/>
    </row>
    <row r="15" spans="1:20" ht="15.95">
      <c r="A15" s="34" t="s">
        <v>56</v>
      </c>
      <c r="B15" s="34">
        <f t="shared" si="1"/>
        <v>46314</v>
      </c>
      <c r="C15" s="34">
        <f t="shared" si="2"/>
        <v>46320</v>
      </c>
      <c r="D15" s="37" t="s">
        <v>44</v>
      </c>
      <c r="E15" s="20"/>
      <c r="F15" s="63"/>
      <c r="G15" s="21"/>
      <c r="H15" s="42"/>
      <c r="I15" s="43"/>
      <c r="J15" s="42"/>
      <c r="K15" s="44"/>
      <c r="L15" s="42"/>
      <c r="M15" s="42"/>
      <c r="N15" s="23" t="str">
        <f t="shared" si="3"/>
        <v/>
      </c>
      <c r="O15" s="24"/>
      <c r="P15" s="25">
        <f t="shared" si="4"/>
        <v>0</v>
      </c>
      <c r="Q15" s="63"/>
      <c r="R15" s="26" t="str">
        <f t="shared" si="5"/>
        <v/>
      </c>
      <c r="S15" s="22" t="str">
        <f t="shared" si="0"/>
        <v/>
      </c>
      <c r="T15" s="20"/>
    </row>
    <row r="16" spans="1:20" ht="15.95">
      <c r="A16" s="34" t="s">
        <v>57</v>
      </c>
      <c r="B16" s="34">
        <f t="shared" si="1"/>
        <v>46321</v>
      </c>
      <c r="C16" s="34">
        <f t="shared" si="2"/>
        <v>46327</v>
      </c>
      <c r="D16" s="37" t="s">
        <v>44</v>
      </c>
      <c r="E16" s="20"/>
      <c r="F16" s="63"/>
      <c r="G16" s="21"/>
      <c r="H16" s="42"/>
      <c r="I16" s="43"/>
      <c r="J16" s="42"/>
      <c r="K16" s="44"/>
      <c r="L16" s="42"/>
      <c r="M16" s="42"/>
      <c r="N16" s="23" t="str">
        <f t="shared" si="3"/>
        <v/>
      </c>
      <c r="O16" s="24"/>
      <c r="P16" s="25">
        <f t="shared" si="4"/>
        <v>0</v>
      </c>
      <c r="Q16" s="63"/>
      <c r="R16" s="26" t="str">
        <f t="shared" si="5"/>
        <v/>
      </c>
      <c r="S16" s="22" t="str">
        <f t="shared" si="0"/>
        <v/>
      </c>
      <c r="T16" s="20"/>
    </row>
    <row r="17" spans="1:20" ht="15.95">
      <c r="A17" s="34" t="s">
        <v>58</v>
      </c>
      <c r="B17" s="34">
        <f t="shared" si="1"/>
        <v>46328</v>
      </c>
      <c r="C17" s="34">
        <f t="shared" si="2"/>
        <v>46334</v>
      </c>
      <c r="D17" s="37" t="s">
        <v>44</v>
      </c>
      <c r="E17" s="20"/>
      <c r="F17" s="63"/>
      <c r="G17" s="21"/>
      <c r="H17" s="42"/>
      <c r="I17" s="43"/>
      <c r="J17" s="42"/>
      <c r="K17" s="44"/>
      <c r="L17" s="42"/>
      <c r="M17" s="42"/>
      <c r="N17" s="23" t="str">
        <f t="shared" si="3"/>
        <v/>
      </c>
      <c r="O17" s="24"/>
      <c r="P17" s="25">
        <f t="shared" si="4"/>
        <v>0</v>
      </c>
      <c r="Q17" s="63"/>
      <c r="R17" s="26" t="str">
        <f t="shared" si="5"/>
        <v/>
      </c>
      <c r="S17" s="22" t="str">
        <f t="shared" si="0"/>
        <v/>
      </c>
      <c r="T17" s="20"/>
    </row>
    <row r="18" spans="1:20" ht="15.95">
      <c r="A18" s="34" t="s">
        <v>59</v>
      </c>
      <c r="B18" s="34">
        <f t="shared" si="1"/>
        <v>46335</v>
      </c>
      <c r="C18" s="34">
        <f t="shared" si="2"/>
        <v>46341</v>
      </c>
      <c r="D18" s="37" t="s">
        <v>44</v>
      </c>
      <c r="E18" s="20"/>
      <c r="F18" s="63"/>
      <c r="G18" s="21"/>
      <c r="H18" s="42"/>
      <c r="I18" s="43"/>
      <c r="J18" s="42"/>
      <c r="K18" s="44"/>
      <c r="L18" s="42"/>
      <c r="M18" s="42"/>
      <c r="N18" s="23" t="str">
        <f t="shared" si="3"/>
        <v/>
      </c>
      <c r="O18" s="24"/>
      <c r="P18" s="25">
        <f t="shared" si="4"/>
        <v>0</v>
      </c>
      <c r="Q18" s="63"/>
      <c r="R18" s="26" t="str">
        <f t="shared" si="5"/>
        <v/>
      </c>
      <c r="S18" s="22" t="str">
        <f t="shared" si="0"/>
        <v/>
      </c>
      <c r="T18" s="20"/>
    </row>
    <row r="19" spans="1:20" ht="15.95">
      <c r="A19" s="34" t="s">
        <v>60</v>
      </c>
      <c r="B19" s="34">
        <f t="shared" si="1"/>
        <v>46342</v>
      </c>
      <c r="C19" s="34">
        <f t="shared" si="2"/>
        <v>46348</v>
      </c>
      <c r="D19" s="37" t="s">
        <v>44</v>
      </c>
      <c r="E19" s="20"/>
      <c r="F19" s="63"/>
      <c r="G19" s="21"/>
      <c r="H19" s="42"/>
      <c r="I19" s="44"/>
      <c r="J19" s="42"/>
      <c r="K19" s="44"/>
      <c r="L19" s="42"/>
      <c r="M19" s="42"/>
      <c r="N19" s="23" t="str">
        <f t="shared" si="3"/>
        <v/>
      </c>
      <c r="O19" s="24"/>
      <c r="P19" s="25">
        <f t="shared" si="4"/>
        <v>0</v>
      </c>
      <c r="Q19" s="63"/>
      <c r="R19" s="26" t="str">
        <f t="shared" si="5"/>
        <v/>
      </c>
      <c r="S19" s="22" t="str">
        <f t="shared" ref="S19:S55" si="14">IFERROR(IF(AND(G19&gt;0, O19&gt;0), (H19+J19+K19+L19+M19)/(G19*O19), ""), "")</f>
        <v/>
      </c>
      <c r="T19" s="20"/>
    </row>
    <row r="20" spans="1:20" ht="15.95">
      <c r="A20" s="34" t="s">
        <v>61</v>
      </c>
      <c r="B20" s="34">
        <f t="shared" si="1"/>
        <v>46349</v>
      </c>
      <c r="C20" s="34">
        <f t="shared" si="2"/>
        <v>46355</v>
      </c>
      <c r="D20" s="37" t="s">
        <v>44</v>
      </c>
      <c r="E20" s="20"/>
      <c r="F20" s="63"/>
      <c r="G20" s="21"/>
      <c r="H20" s="42"/>
      <c r="I20" s="44"/>
      <c r="J20" s="42"/>
      <c r="K20" s="44"/>
      <c r="L20" s="42"/>
      <c r="M20" s="42"/>
      <c r="N20" s="23" t="str">
        <f t="shared" si="3"/>
        <v/>
      </c>
      <c r="O20" s="24"/>
      <c r="P20" s="25">
        <f t="shared" si="4"/>
        <v>0</v>
      </c>
      <c r="Q20" s="63"/>
      <c r="R20" s="26" t="str">
        <f t="shared" si="5"/>
        <v/>
      </c>
      <c r="S20" s="22" t="str">
        <f t="shared" si="14"/>
        <v/>
      </c>
      <c r="T20" s="20"/>
    </row>
    <row r="21" spans="1:20" ht="15.95">
      <c r="A21" s="34" t="s">
        <v>62</v>
      </c>
      <c r="B21" s="34">
        <f t="shared" si="1"/>
        <v>46356</v>
      </c>
      <c r="C21" s="34">
        <f t="shared" si="2"/>
        <v>46362</v>
      </c>
      <c r="D21" s="37" t="s">
        <v>44</v>
      </c>
      <c r="E21" s="20"/>
      <c r="F21" s="63"/>
      <c r="G21" s="21"/>
      <c r="H21" s="42"/>
      <c r="I21" s="44"/>
      <c r="J21" s="42"/>
      <c r="K21" s="44"/>
      <c r="L21" s="42"/>
      <c r="M21" s="42"/>
      <c r="N21" s="23" t="str">
        <f t="shared" si="3"/>
        <v/>
      </c>
      <c r="O21" s="24"/>
      <c r="P21" s="25">
        <f t="shared" si="4"/>
        <v>0</v>
      </c>
      <c r="Q21" s="63"/>
      <c r="R21" s="26" t="str">
        <f t="shared" si="5"/>
        <v/>
      </c>
      <c r="S21" s="22" t="str">
        <f t="shared" si="14"/>
        <v/>
      </c>
      <c r="T21" s="20"/>
    </row>
    <row r="22" spans="1:20" ht="15.95">
      <c r="A22" s="34" t="s">
        <v>63</v>
      </c>
      <c r="B22" s="34">
        <f t="shared" si="1"/>
        <v>46363</v>
      </c>
      <c r="C22" s="34">
        <f t="shared" si="2"/>
        <v>46369</v>
      </c>
      <c r="D22" s="37" t="s">
        <v>44</v>
      </c>
      <c r="E22" s="20"/>
      <c r="F22" s="63"/>
      <c r="G22" s="21"/>
      <c r="H22" s="42"/>
      <c r="I22" s="44"/>
      <c r="J22" s="42"/>
      <c r="K22" s="44"/>
      <c r="L22" s="42"/>
      <c r="M22" s="42"/>
      <c r="N22" s="23" t="str">
        <f t="shared" si="3"/>
        <v/>
      </c>
      <c r="O22" s="24"/>
      <c r="P22" s="25">
        <f t="shared" si="4"/>
        <v>0</v>
      </c>
      <c r="Q22" s="63"/>
      <c r="R22" s="26" t="str">
        <f t="shared" si="5"/>
        <v/>
      </c>
      <c r="S22" s="22" t="str">
        <f t="shared" si="14"/>
        <v/>
      </c>
      <c r="T22" s="20"/>
    </row>
    <row r="23" spans="1:20" ht="15.95">
      <c r="A23" s="34" t="s">
        <v>64</v>
      </c>
      <c r="B23" s="34">
        <f t="shared" si="1"/>
        <v>46370</v>
      </c>
      <c r="C23" s="34">
        <f t="shared" si="2"/>
        <v>46376</v>
      </c>
      <c r="D23" s="37" t="s">
        <v>44</v>
      </c>
      <c r="E23" s="20"/>
      <c r="F23" s="63"/>
      <c r="G23" s="21"/>
      <c r="H23" s="42"/>
      <c r="I23" s="44"/>
      <c r="J23" s="42"/>
      <c r="K23" s="44"/>
      <c r="L23" s="42"/>
      <c r="M23" s="42"/>
      <c r="N23" s="23" t="str">
        <f t="shared" si="3"/>
        <v/>
      </c>
      <c r="O23" s="24"/>
      <c r="P23" s="25">
        <f t="shared" si="4"/>
        <v>0</v>
      </c>
      <c r="Q23" s="63"/>
      <c r="R23" s="26" t="str">
        <f t="shared" si="5"/>
        <v/>
      </c>
      <c r="S23" s="22" t="str">
        <f t="shared" si="14"/>
        <v/>
      </c>
      <c r="T23" s="20"/>
    </row>
    <row r="24" spans="1:20" ht="15.95">
      <c r="A24" s="34" t="s">
        <v>65</v>
      </c>
      <c r="B24" s="34">
        <f t="shared" si="1"/>
        <v>46377</v>
      </c>
      <c r="C24" s="34">
        <f t="shared" si="2"/>
        <v>46383</v>
      </c>
      <c r="D24" s="37" t="s">
        <v>44</v>
      </c>
      <c r="E24" s="20"/>
      <c r="F24" s="63"/>
      <c r="G24" s="21"/>
      <c r="H24" s="42"/>
      <c r="I24" s="44"/>
      <c r="J24" s="42"/>
      <c r="K24" s="44"/>
      <c r="L24" s="42"/>
      <c r="M24" s="42"/>
      <c r="N24" s="23" t="str">
        <f t="shared" si="3"/>
        <v/>
      </c>
      <c r="O24" s="24"/>
      <c r="P24" s="25">
        <f t="shared" si="4"/>
        <v>0</v>
      </c>
      <c r="Q24" s="63"/>
      <c r="R24" s="26" t="str">
        <f t="shared" si="5"/>
        <v/>
      </c>
      <c r="S24" s="22" t="str">
        <f t="shared" si="14"/>
        <v/>
      </c>
      <c r="T24" s="20"/>
    </row>
    <row r="25" spans="1:20" ht="15.95">
      <c r="A25" s="34" t="s">
        <v>66</v>
      </c>
      <c r="B25" s="34">
        <f t="shared" si="1"/>
        <v>46384</v>
      </c>
      <c r="C25" s="34">
        <f t="shared" si="2"/>
        <v>46390</v>
      </c>
      <c r="D25" s="37" t="s">
        <v>44</v>
      </c>
      <c r="E25" s="20"/>
      <c r="F25" s="63"/>
      <c r="G25" s="21"/>
      <c r="H25" s="42"/>
      <c r="I25" s="44"/>
      <c r="J25" s="42"/>
      <c r="K25" s="44"/>
      <c r="L25" s="42"/>
      <c r="M25" s="42"/>
      <c r="N25" s="23" t="str">
        <f t="shared" si="3"/>
        <v/>
      </c>
      <c r="O25" s="24"/>
      <c r="P25" s="25">
        <f t="shared" si="4"/>
        <v>0</v>
      </c>
      <c r="Q25" s="63"/>
      <c r="R25" s="26" t="str">
        <f t="shared" si="5"/>
        <v/>
      </c>
      <c r="S25" s="22" t="str">
        <f t="shared" si="14"/>
        <v/>
      </c>
      <c r="T25" s="20"/>
    </row>
    <row r="26" spans="1:20" ht="15.95">
      <c r="A26" s="34"/>
      <c r="B26" s="34" t="str">
        <f t="shared" si="1"/>
        <v/>
      </c>
      <c r="C26" s="34" t="str">
        <f t="shared" si="2"/>
        <v/>
      </c>
      <c r="D26" s="37"/>
      <c r="E26" s="20"/>
      <c r="F26" s="63"/>
      <c r="G26" s="21"/>
      <c r="H26" s="42"/>
      <c r="I26" s="44"/>
      <c r="J26" s="44"/>
      <c r="K26" s="44"/>
      <c r="L26" s="42"/>
      <c r="M26" s="42"/>
      <c r="N26" s="23" t="str">
        <f t="shared" si="3"/>
        <v/>
      </c>
      <c r="O26" s="24"/>
      <c r="P26" s="25">
        <f t="shared" si="4"/>
        <v>0</v>
      </c>
      <c r="Q26" s="63"/>
      <c r="R26" s="26" t="str">
        <f t="shared" si="5"/>
        <v/>
      </c>
      <c r="S26" s="22" t="str">
        <f t="shared" si="14"/>
        <v/>
      </c>
      <c r="T26" s="20"/>
    </row>
    <row r="27" spans="1:20" ht="15.95">
      <c r="A27" s="34"/>
      <c r="B27" s="34" t="str">
        <f t="shared" si="1"/>
        <v/>
      </c>
      <c r="C27" s="34" t="str">
        <f t="shared" si="2"/>
        <v/>
      </c>
      <c r="D27" s="37"/>
      <c r="E27" s="20"/>
      <c r="F27" s="63"/>
      <c r="G27" s="21"/>
      <c r="H27" s="42"/>
      <c r="I27" s="44"/>
      <c r="J27" s="44"/>
      <c r="K27" s="44"/>
      <c r="L27" s="42"/>
      <c r="M27" s="42"/>
      <c r="N27" s="23" t="str">
        <f t="shared" si="3"/>
        <v/>
      </c>
      <c r="O27" s="24"/>
      <c r="P27" s="25">
        <f t="shared" si="4"/>
        <v>0</v>
      </c>
      <c r="Q27" s="63"/>
      <c r="R27" s="26" t="str">
        <f t="shared" si="5"/>
        <v/>
      </c>
      <c r="S27" s="22" t="str">
        <f t="shared" si="14"/>
        <v/>
      </c>
      <c r="T27" s="20"/>
    </row>
    <row r="28" spans="1:20" ht="15.95">
      <c r="A28" s="34"/>
      <c r="B28" s="34" t="str">
        <f t="shared" si="1"/>
        <v/>
      </c>
      <c r="C28" s="34" t="str">
        <f t="shared" si="2"/>
        <v/>
      </c>
      <c r="D28" s="37"/>
      <c r="E28" s="20"/>
      <c r="F28" s="63"/>
      <c r="G28" s="21"/>
      <c r="H28" s="42"/>
      <c r="I28" s="44"/>
      <c r="J28" s="44"/>
      <c r="K28" s="44"/>
      <c r="L28" s="42"/>
      <c r="M28" s="42"/>
      <c r="N28" s="23" t="str">
        <f t="shared" si="3"/>
        <v/>
      </c>
      <c r="O28" s="24"/>
      <c r="P28" s="25">
        <f t="shared" si="4"/>
        <v>0</v>
      </c>
      <c r="Q28" s="63"/>
      <c r="R28" s="26" t="str">
        <f t="shared" si="5"/>
        <v/>
      </c>
      <c r="S28" s="22" t="str">
        <f t="shared" si="14"/>
        <v/>
      </c>
      <c r="T28" s="20"/>
    </row>
    <row r="29" spans="1:20" ht="15.95">
      <c r="A29" s="34"/>
      <c r="B29" s="34" t="str">
        <f t="shared" si="1"/>
        <v/>
      </c>
      <c r="C29" s="34" t="str">
        <f t="shared" si="2"/>
        <v/>
      </c>
      <c r="D29" s="37"/>
      <c r="E29" s="20"/>
      <c r="F29" s="63"/>
      <c r="G29" s="21"/>
      <c r="H29" s="42"/>
      <c r="I29" s="44"/>
      <c r="J29" s="44"/>
      <c r="K29" s="44"/>
      <c r="L29" s="42"/>
      <c r="M29" s="42"/>
      <c r="N29" s="23" t="str">
        <f t="shared" si="3"/>
        <v/>
      </c>
      <c r="O29" s="24"/>
      <c r="P29" s="25">
        <f t="shared" si="4"/>
        <v>0</v>
      </c>
      <c r="Q29" s="63"/>
      <c r="R29" s="26" t="str">
        <f t="shared" si="5"/>
        <v/>
      </c>
      <c r="S29" s="22" t="str">
        <f t="shared" si="14"/>
        <v/>
      </c>
      <c r="T29" s="20"/>
    </row>
    <row r="30" spans="1:20" ht="15.95">
      <c r="A30" s="34"/>
      <c r="B30" s="34" t="str">
        <f t="shared" si="1"/>
        <v/>
      </c>
      <c r="C30" s="34" t="str">
        <f t="shared" si="2"/>
        <v/>
      </c>
      <c r="D30" s="37"/>
      <c r="E30" s="20"/>
      <c r="F30" s="63"/>
      <c r="G30" s="21"/>
      <c r="H30" s="42"/>
      <c r="I30" s="44"/>
      <c r="J30" s="44"/>
      <c r="K30" s="44"/>
      <c r="L30" s="42"/>
      <c r="M30" s="42"/>
      <c r="N30" s="23" t="str">
        <f t="shared" si="3"/>
        <v/>
      </c>
      <c r="O30" s="24"/>
      <c r="P30" s="25">
        <f t="shared" si="4"/>
        <v>0</v>
      </c>
      <c r="Q30" s="63"/>
      <c r="R30" s="26" t="str">
        <f t="shared" si="5"/>
        <v/>
      </c>
      <c r="S30" s="22" t="str">
        <f t="shared" si="14"/>
        <v/>
      </c>
      <c r="T30" s="20"/>
    </row>
    <row r="31" spans="1:20" ht="15.95">
      <c r="A31" s="34"/>
      <c r="B31" s="34" t="str">
        <f t="shared" si="1"/>
        <v/>
      </c>
      <c r="C31" s="34" t="str">
        <f t="shared" si="2"/>
        <v/>
      </c>
      <c r="D31" s="37"/>
      <c r="E31" s="20"/>
      <c r="F31" s="63"/>
      <c r="G31" s="21"/>
      <c r="H31" s="42"/>
      <c r="I31" s="44"/>
      <c r="J31" s="44"/>
      <c r="K31" s="44"/>
      <c r="L31" s="42"/>
      <c r="M31" s="42"/>
      <c r="N31" s="23" t="str">
        <f t="shared" si="3"/>
        <v/>
      </c>
      <c r="O31" s="24"/>
      <c r="P31" s="25">
        <f t="shared" si="4"/>
        <v>0</v>
      </c>
      <c r="Q31" s="63"/>
      <c r="R31" s="26" t="str">
        <f t="shared" si="5"/>
        <v/>
      </c>
      <c r="S31" s="22" t="str">
        <f t="shared" si="14"/>
        <v/>
      </c>
      <c r="T31" s="20"/>
    </row>
    <row r="32" spans="1:20" ht="15.95">
      <c r="A32" s="34"/>
      <c r="B32" s="34" t="str">
        <f t="shared" si="1"/>
        <v/>
      </c>
      <c r="C32" s="34" t="str">
        <f t="shared" si="2"/>
        <v/>
      </c>
      <c r="D32" s="37"/>
      <c r="E32" s="20"/>
      <c r="F32" s="63"/>
      <c r="G32" s="21"/>
      <c r="H32" s="42"/>
      <c r="I32" s="44"/>
      <c r="J32" s="44"/>
      <c r="K32" s="44"/>
      <c r="L32" s="42"/>
      <c r="M32" s="42"/>
      <c r="N32" s="23" t="str">
        <f t="shared" si="3"/>
        <v/>
      </c>
      <c r="O32" s="24"/>
      <c r="P32" s="25">
        <f t="shared" si="4"/>
        <v>0</v>
      </c>
      <c r="Q32" s="63"/>
      <c r="R32" s="26" t="str">
        <f t="shared" si="5"/>
        <v/>
      </c>
      <c r="S32" s="22" t="str">
        <f t="shared" si="14"/>
        <v/>
      </c>
      <c r="T32" s="20"/>
    </row>
    <row r="33" spans="1:20" ht="15.95">
      <c r="A33" s="34"/>
      <c r="B33" s="34" t="str">
        <f t="shared" si="1"/>
        <v/>
      </c>
      <c r="C33" s="34" t="str">
        <f t="shared" si="2"/>
        <v/>
      </c>
      <c r="D33" s="37"/>
      <c r="E33" s="20"/>
      <c r="F33" s="63"/>
      <c r="G33" s="21"/>
      <c r="H33" s="42"/>
      <c r="I33" s="44"/>
      <c r="J33" s="44"/>
      <c r="K33" s="44"/>
      <c r="L33" s="42"/>
      <c r="M33" s="42"/>
      <c r="N33" s="23" t="str">
        <f t="shared" si="3"/>
        <v/>
      </c>
      <c r="O33" s="24"/>
      <c r="P33" s="25">
        <f t="shared" si="4"/>
        <v>0</v>
      </c>
      <c r="Q33" s="63"/>
      <c r="R33" s="26" t="str">
        <f t="shared" si="5"/>
        <v/>
      </c>
      <c r="S33" s="22" t="str">
        <f t="shared" si="14"/>
        <v/>
      </c>
      <c r="T33" s="20"/>
    </row>
    <row r="34" spans="1:20" ht="15.95">
      <c r="A34" s="34"/>
      <c r="B34" s="34" t="str">
        <f t="shared" si="1"/>
        <v/>
      </c>
      <c r="C34" s="34" t="str">
        <f t="shared" si="2"/>
        <v/>
      </c>
      <c r="D34" s="37"/>
      <c r="E34" s="20"/>
      <c r="F34" s="63"/>
      <c r="G34" s="21"/>
      <c r="H34" s="42"/>
      <c r="I34" s="44"/>
      <c r="J34" s="44"/>
      <c r="K34" s="44"/>
      <c r="L34" s="42"/>
      <c r="M34" s="42"/>
      <c r="N34" s="23" t="str">
        <f t="shared" si="3"/>
        <v/>
      </c>
      <c r="O34" s="24"/>
      <c r="P34" s="25">
        <f t="shared" si="4"/>
        <v>0</v>
      </c>
      <c r="Q34" s="63"/>
      <c r="R34" s="26" t="str">
        <f t="shared" si="5"/>
        <v/>
      </c>
      <c r="S34" s="22" t="str">
        <f t="shared" si="14"/>
        <v/>
      </c>
      <c r="T34" s="20"/>
    </row>
    <row r="35" spans="1:20" ht="15.95">
      <c r="A35" s="34"/>
      <c r="B35" s="34" t="str">
        <f t="shared" si="1"/>
        <v/>
      </c>
      <c r="C35" s="34" t="str">
        <f t="shared" si="2"/>
        <v/>
      </c>
      <c r="D35" s="37"/>
      <c r="E35" s="20"/>
      <c r="F35" s="63"/>
      <c r="G35" s="21"/>
      <c r="H35" s="42"/>
      <c r="I35" s="44"/>
      <c r="J35" s="44"/>
      <c r="K35" s="44"/>
      <c r="L35" s="42"/>
      <c r="M35" s="42"/>
      <c r="N35" s="23" t="str">
        <f t="shared" si="3"/>
        <v/>
      </c>
      <c r="O35" s="24"/>
      <c r="P35" s="25">
        <f t="shared" si="4"/>
        <v>0</v>
      </c>
      <c r="Q35" s="63"/>
      <c r="R35" s="26" t="str">
        <f t="shared" si="5"/>
        <v/>
      </c>
      <c r="S35" s="22" t="str">
        <f t="shared" si="14"/>
        <v/>
      </c>
      <c r="T35" s="20"/>
    </row>
    <row r="36" spans="1:20" ht="15.95">
      <c r="A36" s="34"/>
      <c r="B36" s="34" t="str">
        <f t="shared" si="1"/>
        <v/>
      </c>
      <c r="C36" s="34" t="str">
        <f t="shared" si="2"/>
        <v/>
      </c>
      <c r="D36" s="37"/>
      <c r="E36" s="20"/>
      <c r="F36" s="63"/>
      <c r="G36" s="21"/>
      <c r="H36" s="42"/>
      <c r="I36" s="44"/>
      <c r="J36" s="44"/>
      <c r="K36" s="44"/>
      <c r="L36" s="42"/>
      <c r="M36" s="42"/>
      <c r="N36" s="23" t="str">
        <f t="shared" si="3"/>
        <v/>
      </c>
      <c r="O36" s="24"/>
      <c r="P36" s="25">
        <f t="shared" si="4"/>
        <v>0</v>
      </c>
      <c r="Q36" s="63"/>
      <c r="R36" s="26" t="str">
        <f t="shared" si="5"/>
        <v/>
      </c>
      <c r="S36" s="22" t="str">
        <f t="shared" si="14"/>
        <v/>
      </c>
      <c r="T36" s="20"/>
    </row>
    <row r="37" spans="1:20" ht="15.95">
      <c r="A37" s="34"/>
      <c r="B37" s="34" t="str">
        <f t="shared" si="1"/>
        <v/>
      </c>
      <c r="C37" s="34" t="str">
        <f t="shared" si="2"/>
        <v/>
      </c>
      <c r="D37" s="37"/>
      <c r="E37" s="20"/>
      <c r="F37" s="63"/>
      <c r="G37" s="21"/>
      <c r="H37" s="42"/>
      <c r="I37" s="44"/>
      <c r="J37" s="44"/>
      <c r="K37" s="44"/>
      <c r="L37" s="42"/>
      <c r="M37" s="42"/>
      <c r="N37" s="23" t="str">
        <f t="shared" si="3"/>
        <v/>
      </c>
      <c r="O37" s="24"/>
      <c r="P37" s="25">
        <f t="shared" si="4"/>
        <v>0</v>
      </c>
      <c r="Q37" s="63"/>
      <c r="R37" s="26" t="str">
        <f t="shared" si="5"/>
        <v/>
      </c>
      <c r="S37" s="22" t="str">
        <f t="shared" si="14"/>
        <v/>
      </c>
      <c r="T37" s="20"/>
    </row>
    <row r="38" spans="1:20" ht="15.95">
      <c r="A38" s="34"/>
      <c r="B38" s="34" t="str">
        <f t="shared" si="1"/>
        <v/>
      </c>
      <c r="C38" s="34" t="str">
        <f t="shared" si="2"/>
        <v/>
      </c>
      <c r="D38" s="37"/>
      <c r="E38" s="20"/>
      <c r="F38" s="63"/>
      <c r="G38" s="21"/>
      <c r="H38" s="42"/>
      <c r="I38" s="44"/>
      <c r="J38" s="44"/>
      <c r="K38" s="44"/>
      <c r="L38" s="42"/>
      <c r="M38" s="42"/>
      <c r="N38" s="23" t="str">
        <f t="shared" si="3"/>
        <v/>
      </c>
      <c r="O38" s="24"/>
      <c r="P38" s="25">
        <f t="shared" si="4"/>
        <v>0</v>
      </c>
      <c r="Q38" s="63"/>
      <c r="R38" s="26" t="str">
        <f t="shared" si="5"/>
        <v/>
      </c>
      <c r="S38" s="22" t="str">
        <f t="shared" si="14"/>
        <v/>
      </c>
      <c r="T38" s="20"/>
    </row>
    <row r="39" spans="1:20" ht="15.95">
      <c r="A39" s="34"/>
      <c r="B39" s="34" t="str">
        <f t="shared" si="1"/>
        <v/>
      </c>
      <c r="C39" s="34" t="str">
        <f t="shared" si="2"/>
        <v/>
      </c>
      <c r="D39" s="37"/>
      <c r="E39" s="20"/>
      <c r="F39" s="63"/>
      <c r="G39" s="21"/>
      <c r="H39" s="42"/>
      <c r="I39" s="44"/>
      <c r="J39" s="44"/>
      <c r="K39" s="44"/>
      <c r="L39" s="42"/>
      <c r="M39" s="42"/>
      <c r="N39" s="23" t="str">
        <f t="shared" si="3"/>
        <v/>
      </c>
      <c r="O39" s="24"/>
      <c r="P39" s="25">
        <f t="shared" si="4"/>
        <v>0</v>
      </c>
      <c r="Q39" s="63"/>
      <c r="R39" s="26" t="str">
        <f t="shared" si="5"/>
        <v/>
      </c>
      <c r="S39" s="22" t="str">
        <f t="shared" si="14"/>
        <v/>
      </c>
      <c r="T39" s="20"/>
    </row>
    <row r="40" spans="1:20" ht="15.95">
      <c r="A40" s="34"/>
      <c r="B40" s="34" t="str">
        <f t="shared" si="1"/>
        <v/>
      </c>
      <c r="C40" s="34" t="str">
        <f t="shared" si="2"/>
        <v/>
      </c>
      <c r="D40" s="37"/>
      <c r="E40" s="20"/>
      <c r="F40" s="63"/>
      <c r="G40" s="21"/>
      <c r="H40" s="42"/>
      <c r="I40" s="44"/>
      <c r="J40" s="44"/>
      <c r="K40" s="44"/>
      <c r="L40" s="42"/>
      <c r="M40" s="42"/>
      <c r="N40" s="23" t="str">
        <f t="shared" si="3"/>
        <v/>
      </c>
      <c r="O40" s="24"/>
      <c r="P40" s="25">
        <f t="shared" si="4"/>
        <v>0</v>
      </c>
      <c r="Q40" s="63"/>
      <c r="R40" s="26" t="str">
        <f t="shared" si="5"/>
        <v/>
      </c>
      <c r="S40" s="22" t="str">
        <f t="shared" si="14"/>
        <v/>
      </c>
      <c r="T40" s="20"/>
    </row>
    <row r="41" spans="1:20" ht="15.95">
      <c r="A41" s="34"/>
      <c r="B41" s="34" t="str">
        <f t="shared" si="1"/>
        <v/>
      </c>
      <c r="C41" s="34" t="str">
        <f t="shared" si="2"/>
        <v/>
      </c>
      <c r="D41" s="37"/>
      <c r="E41" s="20"/>
      <c r="F41" s="63"/>
      <c r="G41" s="21"/>
      <c r="H41" s="42"/>
      <c r="I41" s="44"/>
      <c r="J41" s="44"/>
      <c r="K41" s="44"/>
      <c r="L41" s="42"/>
      <c r="M41" s="42"/>
      <c r="N41" s="23" t="str">
        <f t="shared" si="3"/>
        <v/>
      </c>
      <c r="O41" s="24"/>
      <c r="P41" s="25">
        <f t="shared" si="4"/>
        <v>0</v>
      </c>
      <c r="Q41" s="63"/>
      <c r="R41" s="26" t="str">
        <f t="shared" si="5"/>
        <v/>
      </c>
      <c r="S41" s="22" t="str">
        <f t="shared" si="14"/>
        <v/>
      </c>
      <c r="T41" s="20"/>
    </row>
    <row r="42" spans="1:20" ht="15.95">
      <c r="A42" s="34"/>
      <c r="B42" s="34" t="str">
        <f t="shared" si="1"/>
        <v/>
      </c>
      <c r="C42" s="34" t="str">
        <f t="shared" si="2"/>
        <v/>
      </c>
      <c r="D42" s="37"/>
      <c r="E42" s="20"/>
      <c r="F42" s="63"/>
      <c r="G42" s="21"/>
      <c r="H42" s="42"/>
      <c r="I42" s="44"/>
      <c r="J42" s="44"/>
      <c r="K42" s="44"/>
      <c r="L42" s="42"/>
      <c r="M42" s="42"/>
      <c r="N42" s="23" t="str">
        <f t="shared" si="3"/>
        <v/>
      </c>
      <c r="O42" s="24"/>
      <c r="P42" s="25">
        <f t="shared" si="4"/>
        <v>0</v>
      </c>
      <c r="Q42" s="63"/>
      <c r="R42" s="26" t="str">
        <f t="shared" si="5"/>
        <v/>
      </c>
      <c r="S42" s="22" t="str">
        <f t="shared" si="14"/>
        <v/>
      </c>
      <c r="T42" s="20"/>
    </row>
    <row r="43" spans="1:20" ht="15.95">
      <c r="A43" s="34"/>
      <c r="B43" s="34" t="str">
        <f t="shared" si="1"/>
        <v/>
      </c>
      <c r="C43" s="34" t="str">
        <f t="shared" si="2"/>
        <v/>
      </c>
      <c r="D43" s="37"/>
      <c r="E43" s="20"/>
      <c r="F43" s="63"/>
      <c r="G43" s="21"/>
      <c r="H43" s="42"/>
      <c r="I43" s="44"/>
      <c r="J43" s="44"/>
      <c r="K43" s="44"/>
      <c r="L43" s="42"/>
      <c r="M43" s="42"/>
      <c r="N43" s="23" t="str">
        <f t="shared" si="3"/>
        <v/>
      </c>
      <c r="O43" s="24"/>
      <c r="P43" s="25">
        <f t="shared" si="4"/>
        <v>0</v>
      </c>
      <c r="Q43" s="63"/>
      <c r="R43" s="26" t="str">
        <f t="shared" si="5"/>
        <v/>
      </c>
      <c r="S43" s="22" t="str">
        <f t="shared" si="14"/>
        <v/>
      </c>
      <c r="T43" s="20"/>
    </row>
    <row r="44" spans="1:20" ht="15.95">
      <c r="A44" s="34"/>
      <c r="B44" s="34" t="str">
        <f t="shared" si="1"/>
        <v/>
      </c>
      <c r="C44" s="34" t="str">
        <f t="shared" si="2"/>
        <v/>
      </c>
      <c r="D44" s="37"/>
      <c r="E44" s="20"/>
      <c r="F44" s="63"/>
      <c r="G44" s="21"/>
      <c r="H44" s="42"/>
      <c r="I44" s="44"/>
      <c r="J44" s="44"/>
      <c r="K44" s="44"/>
      <c r="L44" s="42"/>
      <c r="M44" s="42"/>
      <c r="N44" s="23" t="str">
        <f t="shared" si="3"/>
        <v/>
      </c>
      <c r="O44" s="24"/>
      <c r="P44" s="25">
        <f t="shared" si="4"/>
        <v>0</v>
      </c>
      <c r="Q44" s="63"/>
      <c r="R44" s="26" t="str">
        <f t="shared" si="5"/>
        <v/>
      </c>
      <c r="S44" s="22" t="str">
        <f t="shared" si="14"/>
        <v/>
      </c>
      <c r="T44" s="20"/>
    </row>
    <row r="45" spans="1:20" ht="15.95">
      <c r="A45" s="34"/>
      <c r="B45" s="34" t="str">
        <f t="shared" si="1"/>
        <v/>
      </c>
      <c r="C45" s="34" t="str">
        <f t="shared" si="2"/>
        <v/>
      </c>
      <c r="D45" s="37"/>
      <c r="E45" s="20"/>
      <c r="F45" s="63"/>
      <c r="G45" s="21"/>
      <c r="H45" s="42"/>
      <c r="I45" s="44"/>
      <c r="J45" s="44"/>
      <c r="K45" s="44"/>
      <c r="L45" s="42"/>
      <c r="M45" s="42"/>
      <c r="N45" s="23" t="str">
        <f t="shared" si="3"/>
        <v/>
      </c>
      <c r="O45" s="24"/>
      <c r="P45" s="25">
        <f t="shared" si="4"/>
        <v>0</v>
      </c>
      <c r="Q45" s="63"/>
      <c r="R45" s="26" t="str">
        <f t="shared" si="5"/>
        <v/>
      </c>
      <c r="S45" s="22" t="str">
        <f t="shared" si="14"/>
        <v/>
      </c>
      <c r="T45" s="20"/>
    </row>
    <row r="46" spans="1:20" ht="15.95">
      <c r="A46" s="34"/>
      <c r="B46" s="34" t="str">
        <f t="shared" si="1"/>
        <v/>
      </c>
      <c r="C46" s="34" t="str">
        <f t="shared" si="2"/>
        <v/>
      </c>
      <c r="D46" s="37"/>
      <c r="E46" s="20"/>
      <c r="F46" s="63"/>
      <c r="G46" s="21"/>
      <c r="H46" s="42"/>
      <c r="I46" s="44"/>
      <c r="J46" s="44"/>
      <c r="K46" s="44"/>
      <c r="L46" s="42"/>
      <c r="M46" s="42"/>
      <c r="N46" s="23" t="str">
        <f t="shared" si="3"/>
        <v/>
      </c>
      <c r="O46" s="24"/>
      <c r="P46" s="25">
        <f t="shared" si="4"/>
        <v>0</v>
      </c>
      <c r="Q46" s="63"/>
      <c r="R46" s="26" t="str">
        <f t="shared" si="5"/>
        <v/>
      </c>
      <c r="S46" s="22" t="str">
        <f t="shared" si="14"/>
        <v/>
      </c>
      <c r="T46" s="20"/>
    </row>
    <row r="47" spans="1:20" ht="15.95">
      <c r="A47" s="34"/>
      <c r="B47" s="34" t="str">
        <f t="shared" si="1"/>
        <v/>
      </c>
      <c r="C47" s="34" t="str">
        <f t="shared" si="2"/>
        <v/>
      </c>
      <c r="D47" s="37"/>
      <c r="E47" s="20"/>
      <c r="F47" s="63"/>
      <c r="G47" s="21"/>
      <c r="H47" s="42"/>
      <c r="I47" s="44"/>
      <c r="J47" s="44"/>
      <c r="K47" s="44"/>
      <c r="L47" s="42"/>
      <c r="M47" s="42"/>
      <c r="N47" s="23" t="str">
        <f t="shared" si="3"/>
        <v/>
      </c>
      <c r="O47" s="24"/>
      <c r="P47" s="25">
        <f t="shared" si="4"/>
        <v>0</v>
      </c>
      <c r="Q47" s="63"/>
      <c r="R47" s="26" t="str">
        <f t="shared" si="5"/>
        <v/>
      </c>
      <c r="S47" s="22" t="str">
        <f t="shared" si="14"/>
        <v/>
      </c>
      <c r="T47" s="20"/>
    </row>
    <row r="48" spans="1:20" ht="15.95">
      <c r="A48" s="34"/>
      <c r="B48" s="34" t="str">
        <f t="shared" si="1"/>
        <v/>
      </c>
      <c r="C48" s="34" t="str">
        <f t="shared" si="2"/>
        <v/>
      </c>
      <c r="D48" s="37"/>
      <c r="E48" s="20"/>
      <c r="F48" s="63"/>
      <c r="G48" s="21"/>
      <c r="H48" s="42"/>
      <c r="I48" s="44"/>
      <c r="J48" s="44"/>
      <c r="K48" s="44"/>
      <c r="L48" s="42"/>
      <c r="M48" s="42"/>
      <c r="N48" s="23" t="str">
        <f t="shared" si="3"/>
        <v/>
      </c>
      <c r="O48" s="24"/>
      <c r="P48" s="25">
        <f t="shared" si="4"/>
        <v>0</v>
      </c>
      <c r="Q48" s="63"/>
      <c r="R48" s="26" t="str">
        <f t="shared" si="5"/>
        <v/>
      </c>
      <c r="S48" s="22" t="str">
        <f t="shared" si="14"/>
        <v/>
      </c>
      <c r="T48" s="20"/>
    </row>
    <row r="49" spans="1:20" ht="15.95">
      <c r="A49" s="34"/>
      <c r="B49" s="34" t="str">
        <f t="shared" si="1"/>
        <v/>
      </c>
      <c r="C49" s="34" t="str">
        <f t="shared" si="2"/>
        <v/>
      </c>
      <c r="D49" s="37"/>
      <c r="E49" s="20"/>
      <c r="F49" s="63"/>
      <c r="G49" s="21"/>
      <c r="H49" s="42"/>
      <c r="I49" s="44"/>
      <c r="J49" s="44"/>
      <c r="K49" s="44"/>
      <c r="L49" s="42"/>
      <c r="M49" s="42"/>
      <c r="N49" s="23" t="str">
        <f t="shared" si="3"/>
        <v/>
      </c>
      <c r="O49" s="24"/>
      <c r="P49" s="25">
        <f t="shared" si="4"/>
        <v>0</v>
      </c>
      <c r="Q49" s="63"/>
      <c r="R49" s="26" t="str">
        <f t="shared" si="5"/>
        <v/>
      </c>
      <c r="S49" s="22" t="str">
        <f t="shared" si="14"/>
        <v/>
      </c>
      <c r="T49" s="20"/>
    </row>
    <row r="50" spans="1:20" ht="15.95">
      <c r="A50" s="34"/>
      <c r="B50" s="34" t="str">
        <f t="shared" si="1"/>
        <v/>
      </c>
      <c r="C50" s="34" t="str">
        <f t="shared" si="2"/>
        <v/>
      </c>
      <c r="D50" s="37"/>
      <c r="E50" s="20"/>
      <c r="F50" s="63"/>
      <c r="G50" s="21"/>
      <c r="H50" s="42"/>
      <c r="I50" s="44"/>
      <c r="J50" s="44"/>
      <c r="K50" s="44"/>
      <c r="L50" s="42"/>
      <c r="M50" s="42"/>
      <c r="N50" s="23" t="str">
        <f t="shared" si="3"/>
        <v/>
      </c>
      <c r="O50" s="24"/>
      <c r="P50" s="25">
        <f t="shared" si="4"/>
        <v>0</v>
      </c>
      <c r="Q50" s="63"/>
      <c r="R50" s="26" t="str">
        <f t="shared" si="5"/>
        <v/>
      </c>
      <c r="S50" s="22" t="str">
        <f t="shared" si="14"/>
        <v/>
      </c>
      <c r="T50" s="20"/>
    </row>
    <row r="51" spans="1:20" ht="15.95">
      <c r="A51" s="34"/>
      <c r="B51" s="34" t="str">
        <f t="shared" si="1"/>
        <v/>
      </c>
      <c r="C51" s="34" t="str">
        <f t="shared" si="2"/>
        <v/>
      </c>
      <c r="D51" s="37"/>
      <c r="E51" s="20"/>
      <c r="F51" s="63"/>
      <c r="G51" s="21"/>
      <c r="H51" s="42"/>
      <c r="I51" s="44"/>
      <c r="J51" s="44"/>
      <c r="K51" s="44"/>
      <c r="L51" s="42"/>
      <c r="M51" s="42"/>
      <c r="N51" s="23" t="str">
        <f t="shared" si="3"/>
        <v/>
      </c>
      <c r="O51" s="24"/>
      <c r="P51" s="25">
        <f t="shared" si="4"/>
        <v>0</v>
      </c>
      <c r="Q51" s="63"/>
      <c r="R51" s="26" t="str">
        <f t="shared" si="5"/>
        <v/>
      </c>
      <c r="S51" s="22" t="str">
        <f t="shared" si="14"/>
        <v/>
      </c>
      <c r="T51" s="20"/>
    </row>
    <row r="52" spans="1:20" ht="15.95">
      <c r="A52" s="34"/>
      <c r="B52" s="34" t="str">
        <f t="shared" si="1"/>
        <v/>
      </c>
      <c r="C52" s="34" t="str">
        <f t="shared" si="2"/>
        <v/>
      </c>
      <c r="D52" s="37"/>
      <c r="E52" s="20"/>
      <c r="F52" s="63"/>
      <c r="G52" s="21"/>
      <c r="H52" s="42"/>
      <c r="I52" s="44"/>
      <c r="J52" s="44"/>
      <c r="K52" s="44"/>
      <c r="L52" s="42"/>
      <c r="M52" s="42"/>
      <c r="N52" s="23" t="str">
        <f t="shared" si="3"/>
        <v/>
      </c>
      <c r="O52" s="24"/>
      <c r="P52" s="25">
        <f t="shared" si="4"/>
        <v>0</v>
      </c>
      <c r="Q52" s="63"/>
      <c r="R52" s="26" t="str">
        <f t="shared" si="5"/>
        <v/>
      </c>
      <c r="S52" s="22" t="str">
        <f t="shared" si="14"/>
        <v/>
      </c>
      <c r="T52" s="20"/>
    </row>
    <row r="53" spans="1:20" ht="15.95">
      <c r="A53" s="34"/>
      <c r="B53" s="34" t="str">
        <f t="shared" si="1"/>
        <v/>
      </c>
      <c r="C53" s="34" t="str">
        <f t="shared" si="2"/>
        <v/>
      </c>
      <c r="D53" s="37"/>
      <c r="E53" s="20"/>
      <c r="F53" s="63"/>
      <c r="G53" s="21"/>
      <c r="H53" s="42"/>
      <c r="I53" s="44"/>
      <c r="J53" s="44"/>
      <c r="K53" s="44"/>
      <c r="L53" s="42"/>
      <c r="M53" s="42"/>
      <c r="N53" s="23" t="str">
        <f t="shared" si="3"/>
        <v/>
      </c>
      <c r="O53" s="24"/>
      <c r="P53" s="25">
        <f t="shared" si="4"/>
        <v>0</v>
      </c>
      <c r="Q53" s="63"/>
      <c r="R53" s="26" t="str">
        <f t="shared" si="5"/>
        <v/>
      </c>
      <c r="S53" s="22" t="str">
        <f t="shared" si="14"/>
        <v/>
      </c>
      <c r="T53" s="20"/>
    </row>
    <row r="54" spans="1:20" ht="15.95">
      <c r="A54" s="34"/>
      <c r="B54" s="34" t="str">
        <f t="shared" si="1"/>
        <v/>
      </c>
      <c r="C54" s="34" t="str">
        <f t="shared" si="2"/>
        <v/>
      </c>
      <c r="D54" s="37"/>
      <c r="E54" s="20"/>
      <c r="F54" s="63"/>
      <c r="G54" s="21"/>
      <c r="H54" s="42"/>
      <c r="I54" s="44"/>
      <c r="J54" s="44"/>
      <c r="K54" s="44"/>
      <c r="L54" s="42"/>
      <c r="M54" s="42"/>
      <c r="N54" s="23" t="str">
        <f t="shared" si="3"/>
        <v/>
      </c>
      <c r="O54" s="24"/>
      <c r="P54" s="25">
        <f t="shared" si="4"/>
        <v>0</v>
      </c>
      <c r="Q54" s="63"/>
      <c r="R54" s="26" t="str">
        <f t="shared" si="5"/>
        <v/>
      </c>
      <c r="S54" s="22" t="str">
        <f t="shared" si="14"/>
        <v/>
      </c>
      <c r="T54" s="20"/>
    </row>
    <row r="55" spans="1:20" ht="15.95">
      <c r="A55" s="34"/>
      <c r="B55" s="34" t="str">
        <f t="shared" si="1"/>
        <v/>
      </c>
      <c r="C55" s="34" t="str">
        <f t="shared" si="2"/>
        <v/>
      </c>
      <c r="D55" s="37"/>
      <c r="E55" s="20"/>
      <c r="F55" s="63"/>
      <c r="G55" s="21"/>
      <c r="H55" s="42"/>
      <c r="I55" s="44"/>
      <c r="J55" s="44"/>
      <c r="K55" s="44"/>
      <c r="L55" s="42"/>
      <c r="M55" s="42"/>
      <c r="N55" s="23" t="str">
        <f t="shared" si="3"/>
        <v/>
      </c>
      <c r="O55" s="24"/>
      <c r="P55" s="25">
        <f t="shared" si="4"/>
        <v>0</v>
      </c>
      <c r="Q55" s="63"/>
      <c r="R55" s="26" t="str">
        <f t="shared" si="5"/>
        <v/>
      </c>
      <c r="S55" s="22" t="str">
        <f t="shared" si="14"/>
        <v/>
      </c>
      <c r="T55" s="20"/>
    </row>
  </sheetData>
  <dataConsolidate>
    <dataRefs count="1">
      <dataRef ref="A2:A30" sheet="Dati"/>
    </dataRefs>
  </dataConsolidate>
  <phoneticPr fontId="5" type="noConversion"/>
  <conditionalFormatting sqref="O3:O55">
    <cfRule type="expression" dxfId="4" priority="1" stopIfTrue="1">
      <formula>P3=0</formula>
    </cfRule>
    <cfRule type="expression" dxfId="3" priority="2">
      <formula>P3=4</formula>
    </cfRule>
    <cfRule type="expression" dxfId="2" priority="3">
      <formula>P3=3</formula>
    </cfRule>
    <cfRule type="expression" dxfId="1" priority="4" stopIfTrue="1">
      <formula>P3=2</formula>
    </cfRule>
    <cfRule type="expression" dxfId="0" priority="5" stopIfTrue="1">
      <formula>P3=1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E3F880A-F374-844B-A9EB-C2E5EC434210}">
          <x14:formula1>
            <xm:f>Dati!#REF!</xm:f>
          </x14:formula1>
          <xm:sqref>E27:E55 A56:A1048576 E3:F6 A1:A2</xm:sqref>
        </x14:dataValidation>
        <x14:dataValidation type="list" allowBlank="1" showInputMessage="1" showErrorMessage="1" xr:uid="{6C414FFF-8D6A-A541-B00F-39F344D063DF}">
          <x14:formula1>
            <xm:f>Dati!$A$2:$A$30</xm:f>
          </x14:formula1>
          <xm:sqref>A3:A55</xm:sqref>
        </x14:dataValidation>
        <x14:dataValidation type="list" allowBlank="1" showInputMessage="1" showErrorMessage="1" xr:uid="{5FA4BB2E-DDC7-504C-95E1-FC976345E246}">
          <x14:formula1>
            <xm:f>'Project Calendar 2026'!$H$3:$H$64</xm:f>
          </x14:formula1>
          <xm:sqref>E7:E26</xm:sqref>
        </x14:dataValidation>
        <x14:dataValidation type="list" allowBlank="1" showInputMessage="1" showErrorMessage="1" xr:uid="{812A78F6-E616-F841-93B9-08F4E69CFC29}">
          <x14:formula1>
            <xm:f>'Project Calendar 2026'!$J$3:$J$7</xm:f>
          </x14:formula1>
          <xm:sqref>F7:F55</xm:sqref>
        </x14:dataValidation>
        <x14:dataValidation type="list" allowBlank="1" xr:uid="{6DD8FAC4-26A0-2F4C-BF9E-30A288C978AB}">
          <x14:formula1>
            <xm:f>'Project Calendar 2026'!$I$3:$I$10</xm:f>
          </x14:formula1>
          <xm:sqref>Q3:Q55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6C20F-EE0E-B14C-ABCB-B51F19C03372}">
  <sheetPr codeName="Foglio6"/>
  <dimension ref="A1:M74"/>
  <sheetViews>
    <sheetView topLeftCell="B1" zoomScale="115" zoomScaleNormal="100" workbookViewId="0">
      <pane xSplit="5" topLeftCell="G1" activePane="topRight" state="frozen"/>
      <selection pane="topRight" activeCell="C6" sqref="C6"/>
      <selection activeCell="B1" sqref="B1"/>
    </sheetView>
  </sheetViews>
  <sheetFormatPr defaultColWidth="9.125" defaultRowHeight="12"/>
  <cols>
    <col min="1" max="1" width="7.5" style="65" hidden="1" customWidth="1"/>
    <col min="2" max="2" width="17.875" style="68" customWidth="1"/>
    <col min="3" max="3" width="31.375" style="65" customWidth="1"/>
    <col min="4" max="6" width="20.5" style="65" customWidth="1"/>
    <col min="7" max="7" width="31.375" style="65" customWidth="1"/>
    <col min="8" max="8" width="114.5" style="154" customWidth="1"/>
    <col min="9" max="13" width="10.5" style="65" customWidth="1"/>
    <col min="14" max="16384" width="9.125" style="65"/>
  </cols>
  <sheetData>
    <row r="1" spans="1:13" ht="20.100000000000001" customHeight="1">
      <c r="B1" s="149" t="s">
        <v>67</v>
      </c>
      <c r="C1" s="83"/>
      <c r="D1" s="83"/>
      <c r="E1" s="83"/>
      <c r="F1" s="83"/>
      <c r="G1" s="83"/>
    </row>
    <row r="2" spans="1:13" ht="15.95" customHeight="1">
      <c r="A2" s="338"/>
      <c r="B2" s="135" t="s">
        <v>68</v>
      </c>
      <c r="C2" s="83"/>
      <c r="D2" s="84"/>
      <c r="E2" s="84"/>
      <c r="F2" s="84"/>
      <c r="G2" s="84"/>
      <c r="H2" s="155"/>
    </row>
    <row r="3" spans="1:13" ht="15.95" customHeight="1">
      <c r="A3" s="338"/>
      <c r="B3" s="135"/>
      <c r="C3" s="83"/>
      <c r="D3" s="84"/>
      <c r="E3" s="84"/>
      <c r="F3" s="84"/>
      <c r="G3" s="84"/>
      <c r="H3" s="155"/>
    </row>
    <row r="4" spans="1:13" s="74" customFormat="1" ht="18" customHeight="1">
      <c r="A4" s="338"/>
      <c r="B4" s="98" t="s">
        <v>69</v>
      </c>
      <c r="C4" s="99">
        <v>5800006195</v>
      </c>
      <c r="D4" s="100" t="s">
        <v>70</v>
      </c>
      <c r="E4" s="99"/>
      <c r="F4" s="106"/>
      <c r="G4" s="106"/>
      <c r="H4" s="156"/>
    </row>
    <row r="5" spans="1:13" s="74" customFormat="1" ht="18" customHeight="1">
      <c r="A5" s="338"/>
      <c r="B5" s="98" t="s">
        <v>71</v>
      </c>
      <c r="C5" s="102"/>
      <c r="D5" s="100" t="s">
        <v>72</v>
      </c>
      <c r="E5" s="99" t="s">
        <v>73</v>
      </c>
      <c r="F5" s="106"/>
      <c r="G5" s="106"/>
      <c r="H5" s="156"/>
    </row>
    <row r="6" spans="1:13" s="90" customFormat="1" ht="18" customHeight="1">
      <c r="A6" s="338"/>
      <c r="B6" s="103"/>
      <c r="C6" s="102"/>
      <c r="D6" s="100" t="s">
        <v>74</v>
      </c>
      <c r="E6" s="105" t="s">
        <v>75</v>
      </c>
      <c r="F6" s="109"/>
      <c r="G6" s="109"/>
      <c r="H6" s="156"/>
    </row>
    <row r="7" spans="1:13" ht="8.1" customHeight="1" thickBot="1">
      <c r="B7" s="93"/>
      <c r="C7" s="93"/>
      <c r="D7" s="93"/>
      <c r="E7" s="93"/>
      <c r="F7" s="93"/>
      <c r="G7" s="93"/>
      <c r="H7" s="157"/>
    </row>
    <row r="8" spans="1:13" s="92" customFormat="1" ht="38.1" customHeight="1" thickBot="1">
      <c r="A8" s="120"/>
      <c r="B8" s="165" t="s">
        <v>76</v>
      </c>
      <c r="C8" s="166" t="s">
        <v>77</v>
      </c>
      <c r="D8" s="166" t="s">
        <v>78</v>
      </c>
      <c r="E8" s="166" t="s">
        <v>24</v>
      </c>
      <c r="F8" s="166" t="s">
        <v>25</v>
      </c>
      <c r="G8" s="166" t="s">
        <v>79</v>
      </c>
      <c r="H8" s="167" t="s">
        <v>80</v>
      </c>
      <c r="I8" s="91"/>
      <c r="J8" s="91"/>
      <c r="K8" s="91"/>
      <c r="L8" s="91"/>
      <c r="M8" s="91"/>
    </row>
    <row r="9" spans="1:13" ht="18" thickBot="1">
      <c r="A9" s="121"/>
      <c r="B9" s="168"/>
      <c r="C9" s="169"/>
      <c r="D9" s="170"/>
      <c r="E9" s="170" t="str">
        <f>IFERROR(DATE(2026,1,4)-WEEKDAY(DATE(2026,1,4),2)+1+(MID(D9,6,LEN(D9))-1)*7, "")</f>
        <v/>
      </c>
      <c r="F9" s="170" t="str">
        <f>IFERROR(E9+6, "")</f>
        <v/>
      </c>
      <c r="G9" s="170"/>
      <c r="H9" s="171"/>
      <c r="I9" s="79"/>
      <c r="J9" s="80"/>
      <c r="K9" s="80"/>
      <c r="L9" s="80"/>
      <c r="M9" s="80"/>
    </row>
    <row r="10" spans="1:13" ht="18" thickBot="1">
      <c r="A10" s="121"/>
      <c r="B10" s="168"/>
      <c r="C10" s="169"/>
      <c r="D10" s="170"/>
      <c r="E10" s="170" t="str">
        <f t="shared" ref="E10:E17" si="0">IFERROR(DATE(2026,1,4)-WEEKDAY(DATE(2026,1,4),2)+1+(MID(D10,6,LEN(D10))-1)*7, "")</f>
        <v/>
      </c>
      <c r="F10" s="170" t="str">
        <f>IFERROR(E10+6, "")</f>
        <v/>
      </c>
      <c r="G10" s="170"/>
      <c r="H10" s="172"/>
      <c r="I10" s="79"/>
      <c r="J10" s="80"/>
      <c r="K10" s="80"/>
      <c r="L10" s="80"/>
      <c r="M10" s="80"/>
    </row>
    <row r="11" spans="1:13" ht="44.1" customHeight="1">
      <c r="A11" s="121"/>
      <c r="B11" s="150"/>
      <c r="C11" s="152"/>
      <c r="D11" s="164"/>
      <c r="E11" s="164" t="str">
        <f t="shared" si="0"/>
        <v/>
      </c>
      <c r="F11" s="164" t="str">
        <f t="shared" ref="F11:F17" si="1">IFERROR(E11+6, "")</f>
        <v/>
      </c>
      <c r="G11" s="164"/>
      <c r="H11" s="158" t="s">
        <v>81</v>
      </c>
      <c r="I11" s="79"/>
      <c r="J11" s="80"/>
      <c r="K11" s="80"/>
      <c r="L11" s="80"/>
      <c r="M11" s="80"/>
    </row>
    <row r="12" spans="1:13" ht="44.1" customHeight="1">
      <c r="A12" s="121"/>
      <c r="B12" s="150"/>
      <c r="C12" s="152"/>
      <c r="D12" s="148"/>
      <c r="E12" s="148" t="str">
        <f t="shared" si="0"/>
        <v/>
      </c>
      <c r="F12" s="148" t="str">
        <f t="shared" si="1"/>
        <v/>
      </c>
      <c r="G12" s="148"/>
      <c r="H12" s="158"/>
      <c r="I12" s="79"/>
      <c r="J12" s="80"/>
      <c r="K12" s="80"/>
      <c r="L12" s="80"/>
      <c r="M12" s="80"/>
    </row>
    <row r="13" spans="1:13" ht="44.1" customHeight="1">
      <c r="A13" s="121"/>
      <c r="B13" s="150"/>
      <c r="C13" s="152"/>
      <c r="D13" s="148"/>
      <c r="E13" s="148" t="str">
        <f t="shared" si="0"/>
        <v/>
      </c>
      <c r="F13" s="148" t="str">
        <f t="shared" si="1"/>
        <v/>
      </c>
      <c r="G13" s="148"/>
      <c r="H13" s="158"/>
      <c r="I13" s="79"/>
      <c r="J13" s="80"/>
      <c r="K13" s="80"/>
      <c r="L13" s="80"/>
      <c r="M13" s="80"/>
    </row>
    <row r="14" spans="1:13" ht="44.1" customHeight="1">
      <c r="A14" s="121"/>
      <c r="B14" s="151"/>
      <c r="C14" s="153"/>
      <c r="D14" s="148"/>
      <c r="E14" s="148" t="str">
        <f t="shared" si="0"/>
        <v/>
      </c>
      <c r="F14" s="148" t="str">
        <f t="shared" si="1"/>
        <v/>
      </c>
      <c r="G14" s="148"/>
      <c r="H14" s="159"/>
      <c r="I14" s="79"/>
      <c r="J14" s="80"/>
      <c r="K14" s="80"/>
      <c r="L14" s="80"/>
      <c r="M14" s="80"/>
    </row>
    <row r="15" spans="1:13" ht="44.1" customHeight="1">
      <c r="A15" s="121"/>
      <c r="B15" s="151"/>
      <c r="C15" s="153"/>
      <c r="D15" s="148"/>
      <c r="E15" s="148" t="str">
        <f t="shared" si="0"/>
        <v/>
      </c>
      <c r="F15" s="148" t="str">
        <f t="shared" si="1"/>
        <v/>
      </c>
      <c r="G15" s="148"/>
      <c r="H15" s="159"/>
      <c r="I15" s="79"/>
      <c r="J15" s="80"/>
      <c r="K15" s="80"/>
      <c r="L15" s="80"/>
      <c r="M15" s="80"/>
    </row>
    <row r="16" spans="1:13" ht="44.1" customHeight="1">
      <c r="A16" s="121"/>
      <c r="B16" s="151"/>
      <c r="C16" s="153"/>
      <c r="D16" s="148"/>
      <c r="E16" s="148" t="str">
        <f t="shared" si="0"/>
        <v/>
      </c>
      <c r="F16" s="148" t="str">
        <f t="shared" si="1"/>
        <v/>
      </c>
      <c r="G16" s="148"/>
      <c r="H16" s="159"/>
      <c r="I16" s="79"/>
      <c r="J16" s="80"/>
      <c r="K16" s="80"/>
      <c r="L16" s="80"/>
      <c r="M16" s="80"/>
    </row>
    <row r="17" spans="1:13" ht="44.1" customHeight="1">
      <c r="A17" s="121"/>
      <c r="B17" s="151"/>
      <c r="C17" s="153"/>
      <c r="D17" s="148"/>
      <c r="E17" s="148" t="str">
        <f t="shared" si="0"/>
        <v/>
      </c>
      <c r="F17" s="148" t="str">
        <f t="shared" si="1"/>
        <v/>
      </c>
      <c r="G17" s="148"/>
      <c r="H17" s="159"/>
      <c r="I17" s="79"/>
      <c r="J17" s="80"/>
      <c r="K17" s="80"/>
      <c r="L17" s="80"/>
      <c r="M17" s="80"/>
    </row>
    <row r="18" spans="1:13" ht="12.95" customHeight="1"/>
    <row r="74" spans="2:8" s="69" customFormat="1" ht="12" hidden="1" customHeight="1">
      <c r="B74" s="73"/>
      <c r="H74" s="160"/>
    </row>
  </sheetData>
  <mergeCells count="1">
    <mergeCell ref="A2:A6"/>
  </mergeCells>
  <phoneticPr fontId="5" type="noConversion"/>
  <pageMargins left="0.7" right="0.7" top="0.75" bottom="0.75" header="0.3" footer="0.3"/>
  <pageSetup paperSize="9" orientation="portrait" horizontalDpi="1200" verticalDpi="1200" r:id="rId1"/>
  <headerFooter>
    <oddFooter>&amp;C_x000D_&amp;1#&amp;"Calibri"&amp;10&amp;K000000 Italgas S.p.A - Informazioni Interne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E06BFB-2510-2847-9066-285936B57466}">
          <x14:formula1>
            <xm:f>Dati!$A$2:$A$30</xm:f>
          </x14:formula1>
          <xm:sqref>D9:D17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5C0B2-14E7-2B4C-A95C-E4E92F827E96}">
  <sheetPr codeName="Foglio5"/>
  <dimension ref="A1:AD104"/>
  <sheetViews>
    <sheetView tabSelected="1" topLeftCell="B1" zoomScale="87" zoomScaleNormal="100" workbookViewId="0">
      <pane xSplit="10" topLeftCell="L1" activePane="topRight" state="frozen"/>
      <selection pane="topRight" activeCell="F42" sqref="F42"/>
      <selection activeCell="B1" sqref="B1"/>
    </sheetView>
  </sheetViews>
  <sheetFormatPr defaultColWidth="9.125" defaultRowHeight="12"/>
  <cols>
    <col min="1" max="1" width="7.5" style="65" hidden="1" customWidth="1"/>
    <col min="2" max="2" width="17.125" style="68" customWidth="1"/>
    <col min="3" max="3" width="56.125" style="65" customWidth="1"/>
    <col min="4" max="5" width="10" style="65" customWidth="1"/>
    <col min="6" max="6" width="22.625" style="65" customWidth="1"/>
    <col min="7" max="7" width="12.375" style="86" customWidth="1"/>
    <col min="8" max="8" width="10" style="67" customWidth="1"/>
    <col min="9" max="9" width="19.375" style="66" customWidth="1"/>
    <col min="10" max="11" width="19.375" style="65" customWidth="1"/>
    <col min="12" max="12" width="10.625" style="65" customWidth="1"/>
    <col min="13" max="13" width="19.125" style="65" customWidth="1"/>
    <col min="14" max="14" width="9.625" style="65" customWidth="1"/>
    <col min="15" max="15" width="17.125" style="65" customWidth="1"/>
    <col min="16" max="16" width="9.625" style="65" customWidth="1"/>
    <col min="17" max="17" width="20.625" style="65" bestFit="1" customWidth="1"/>
    <col min="18" max="18" width="11.625" style="65" customWidth="1"/>
    <col min="19" max="19" width="22.625" style="65" bestFit="1" customWidth="1"/>
    <col min="20" max="20" width="11.625" style="65" customWidth="1"/>
    <col min="21" max="21" width="14.125" style="65" customWidth="1"/>
    <col min="22" max="22" width="23" style="65" bestFit="1" customWidth="1"/>
    <col min="23" max="23" width="23" style="65" customWidth="1"/>
    <col min="24" max="24" width="21.875" style="65" customWidth="1"/>
    <col min="25" max="25" width="21.625" style="65" bestFit="1" customWidth="1"/>
    <col min="26" max="30" width="10.5" style="65" customWidth="1"/>
    <col min="31" max="16384" width="9.125" style="65"/>
  </cols>
  <sheetData>
    <row r="1" spans="1:30" ht="20.100000000000001" customHeight="1">
      <c r="B1" s="97" t="s">
        <v>82</v>
      </c>
      <c r="C1" s="83"/>
      <c r="D1" s="83"/>
      <c r="E1" s="83"/>
      <c r="G1" s="94"/>
      <c r="H1" s="95"/>
      <c r="I1" s="96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</row>
    <row r="2" spans="1:30" ht="15.95" customHeight="1">
      <c r="A2" s="338"/>
      <c r="B2" s="135" t="s">
        <v>83</v>
      </c>
      <c r="C2" s="83"/>
      <c r="D2" s="84"/>
      <c r="E2" s="84"/>
      <c r="F2" s="84"/>
      <c r="G2" s="85"/>
      <c r="H2" s="84"/>
      <c r="I2" s="84"/>
      <c r="J2" s="84"/>
      <c r="K2" s="84"/>
      <c r="L2" s="84"/>
      <c r="M2" s="84"/>
      <c r="N2" s="84"/>
      <c r="O2" s="84"/>
      <c r="P2" s="84"/>
      <c r="Q2" s="84"/>
      <c r="R2" s="83"/>
      <c r="S2" s="83"/>
      <c r="T2" s="83"/>
      <c r="U2" s="83"/>
      <c r="V2" s="83"/>
      <c r="W2" s="83"/>
      <c r="X2" s="83"/>
      <c r="Y2" s="83"/>
    </row>
    <row r="3" spans="1:30" ht="15.95" customHeight="1">
      <c r="A3" s="338"/>
      <c r="B3" s="135"/>
      <c r="C3" s="83"/>
      <c r="D3" s="84"/>
      <c r="E3" s="84"/>
      <c r="F3" s="84"/>
      <c r="G3" s="85"/>
      <c r="H3" s="84"/>
      <c r="I3" s="84"/>
      <c r="J3" s="84"/>
      <c r="K3" s="84"/>
      <c r="L3" s="84"/>
      <c r="M3" s="84"/>
      <c r="N3" s="84"/>
      <c r="O3" s="84"/>
      <c r="P3" s="84"/>
      <c r="Q3" s="84"/>
      <c r="R3" s="83"/>
      <c r="S3" s="83"/>
      <c r="T3" s="83"/>
      <c r="U3" s="83"/>
      <c r="V3" s="83"/>
      <c r="W3" s="83"/>
      <c r="X3" s="83"/>
      <c r="Y3" s="83"/>
    </row>
    <row r="4" spans="1:30" s="74" customFormat="1" ht="18" customHeight="1">
      <c r="A4" s="338"/>
      <c r="B4" s="98" t="s">
        <v>69</v>
      </c>
      <c r="C4" s="99">
        <v>5800006556</v>
      </c>
      <c r="D4" s="100" t="s">
        <v>70</v>
      </c>
      <c r="E4" s="101"/>
      <c r="F4" s="99" t="s">
        <v>84</v>
      </c>
      <c r="G4" s="101"/>
      <c r="H4" s="106"/>
      <c r="I4" s="106"/>
      <c r="J4" s="107"/>
      <c r="K4" s="107"/>
      <c r="L4" s="89"/>
      <c r="M4" s="89"/>
      <c r="N4" s="108"/>
      <c r="O4" s="108"/>
      <c r="P4" s="108"/>
      <c r="Q4" s="108"/>
      <c r="R4" s="106"/>
      <c r="S4" s="106"/>
      <c r="T4" s="106"/>
      <c r="U4" s="106"/>
      <c r="V4" s="106"/>
      <c r="W4" s="106"/>
      <c r="X4" s="106"/>
      <c r="Y4" s="106"/>
    </row>
    <row r="5" spans="1:30" s="74" customFormat="1" ht="18" customHeight="1">
      <c r="A5" s="338"/>
      <c r="B5" s="98" t="s">
        <v>71</v>
      </c>
      <c r="C5" s="102"/>
      <c r="D5" s="100" t="s">
        <v>72</v>
      </c>
      <c r="E5" s="101"/>
      <c r="F5" s="99" t="s">
        <v>73</v>
      </c>
      <c r="G5" s="101"/>
      <c r="H5" s="106"/>
      <c r="I5" s="106"/>
      <c r="J5" s="107"/>
      <c r="K5" s="110"/>
      <c r="L5" s="89"/>
      <c r="M5" s="89"/>
      <c r="N5" s="108"/>
      <c r="O5" s="108"/>
      <c r="P5" s="108"/>
      <c r="Q5" s="108"/>
      <c r="R5" s="106"/>
      <c r="S5" s="106"/>
      <c r="T5" s="106"/>
      <c r="U5" s="106"/>
      <c r="V5" s="106"/>
      <c r="W5" s="106"/>
      <c r="X5" s="106"/>
      <c r="Y5" s="106"/>
    </row>
    <row r="6" spans="1:30" s="90" customFormat="1" ht="18" customHeight="1">
      <c r="A6" s="338"/>
      <c r="B6" s="103" t="s">
        <v>85</v>
      </c>
      <c r="C6" s="102"/>
      <c r="D6" s="100" t="s">
        <v>74</v>
      </c>
      <c r="E6" s="104"/>
      <c r="F6" s="105" t="s">
        <v>75</v>
      </c>
      <c r="G6" s="104"/>
      <c r="H6" s="109"/>
      <c r="I6" s="109"/>
      <c r="J6" s="110"/>
      <c r="L6" s="89"/>
      <c r="M6" s="89"/>
      <c r="N6" s="108"/>
      <c r="O6" s="108"/>
      <c r="P6" s="108"/>
      <c r="Q6" s="108"/>
      <c r="R6" s="109"/>
      <c r="S6" s="109"/>
      <c r="T6" s="109"/>
      <c r="U6" s="109"/>
      <c r="V6" s="109"/>
      <c r="W6" s="109"/>
      <c r="X6" s="109"/>
      <c r="Y6" s="109"/>
    </row>
    <row r="7" spans="1:30" ht="8.1" customHeight="1" thickBot="1">
      <c r="B7" s="93"/>
      <c r="C7" s="93"/>
      <c r="D7" s="93"/>
      <c r="E7" s="93"/>
      <c r="F7" s="93"/>
      <c r="G7" s="94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83"/>
    </row>
    <row r="8" spans="1:30" ht="27" customHeight="1" thickBot="1">
      <c r="A8" s="119" t="s">
        <v>86</v>
      </c>
      <c r="B8" s="339"/>
      <c r="C8" s="340"/>
      <c r="D8" s="340"/>
      <c r="E8" s="340"/>
      <c r="F8" s="340"/>
      <c r="G8" s="340"/>
      <c r="H8" s="340"/>
      <c r="I8" s="340"/>
      <c r="J8" s="340"/>
      <c r="K8" s="341"/>
      <c r="L8" s="322" t="s">
        <v>87</v>
      </c>
      <c r="M8" s="337"/>
      <c r="N8" s="322" t="s">
        <v>88</v>
      </c>
      <c r="O8" s="337"/>
      <c r="P8" s="322" t="s">
        <v>89</v>
      </c>
      <c r="Q8" s="337"/>
      <c r="R8" s="322" t="s">
        <v>90</v>
      </c>
      <c r="S8" s="323"/>
      <c r="T8" s="337"/>
      <c r="U8" s="322" t="s">
        <v>91</v>
      </c>
      <c r="V8" s="323"/>
      <c r="W8" s="323"/>
      <c r="X8" s="323"/>
      <c r="Y8" s="324"/>
    </row>
    <row r="9" spans="1:30" s="92" customFormat="1" ht="38.1" customHeight="1" thickBot="1">
      <c r="A9" s="120"/>
      <c r="B9" s="180" t="s">
        <v>92</v>
      </c>
      <c r="C9" s="179" t="s">
        <v>93</v>
      </c>
      <c r="D9" s="130" t="s">
        <v>94</v>
      </c>
      <c r="E9" s="130" t="s">
        <v>95</v>
      </c>
      <c r="F9" s="130" t="s">
        <v>96</v>
      </c>
      <c r="G9" s="130" t="s">
        <v>97</v>
      </c>
      <c r="H9" s="131" t="s">
        <v>98</v>
      </c>
      <c r="I9" s="132" t="s">
        <v>99</v>
      </c>
      <c r="J9" s="133" t="s">
        <v>100</v>
      </c>
      <c r="K9" s="176" t="s">
        <v>101</v>
      </c>
      <c r="L9" s="175" t="s">
        <v>102</v>
      </c>
      <c r="M9" s="177" t="s">
        <v>103</v>
      </c>
      <c r="N9" s="175" t="s">
        <v>102</v>
      </c>
      <c r="O9" s="177" t="s">
        <v>103</v>
      </c>
      <c r="P9" s="175" t="s">
        <v>102</v>
      </c>
      <c r="Q9" s="177" t="s">
        <v>103</v>
      </c>
      <c r="R9" s="175" t="s">
        <v>102</v>
      </c>
      <c r="S9" s="131" t="s">
        <v>104</v>
      </c>
      <c r="T9" s="178" t="s">
        <v>105</v>
      </c>
      <c r="U9" s="175" t="s">
        <v>102</v>
      </c>
      <c r="V9" s="131" t="s">
        <v>106</v>
      </c>
      <c r="W9" s="130" t="s">
        <v>107</v>
      </c>
      <c r="X9" s="130" t="s">
        <v>108</v>
      </c>
      <c r="Y9" s="134" t="s">
        <v>109</v>
      </c>
      <c r="Z9" s="91"/>
      <c r="AA9" s="91"/>
      <c r="AB9" s="91"/>
      <c r="AC9" s="91"/>
      <c r="AD9" s="91"/>
    </row>
    <row r="10" spans="1:30" ht="30">
      <c r="A10" s="121"/>
      <c r="B10" s="231" t="s">
        <v>110</v>
      </c>
      <c r="C10" s="232" t="s">
        <v>111</v>
      </c>
      <c r="D10" s="233"/>
      <c r="E10" s="233">
        <v>10</v>
      </c>
      <c r="F10" s="234" t="s">
        <v>112</v>
      </c>
      <c r="G10" s="235"/>
      <c r="H10" s="235" t="s">
        <v>113</v>
      </c>
      <c r="I10" s="236">
        <v>2997</v>
      </c>
      <c r="J10" s="237">
        <v>328.19</v>
      </c>
      <c r="K10" s="238">
        <f t="shared" ref="K10:K20" si="0">I10*J10</f>
        <v>983585.43</v>
      </c>
      <c r="L10" s="239">
        <v>0</v>
      </c>
      <c r="M10" s="240">
        <f t="shared" ref="M10:M15" si="1">L10*J10</f>
        <v>0</v>
      </c>
      <c r="N10" s="241">
        <v>0</v>
      </c>
      <c r="O10" s="240">
        <f t="shared" ref="O10:O15" si="2">N10*J10</f>
        <v>0</v>
      </c>
      <c r="P10" s="241">
        <v>0</v>
      </c>
      <c r="Q10" s="240">
        <f>P10*J10</f>
        <v>0</v>
      </c>
      <c r="R10" s="242">
        <f t="shared" ref="R10:R19" si="3">L10+N10+P10</f>
        <v>0</v>
      </c>
      <c r="S10" s="243">
        <f t="shared" ref="S10:S19" si="4">M10+O10+Q10</f>
        <v>0</v>
      </c>
      <c r="T10" s="244">
        <f t="shared" ref="T10:T24" si="5">S10/K10</f>
        <v>0</v>
      </c>
      <c r="U10" s="242">
        <f>I10-R10</f>
        <v>2997</v>
      </c>
      <c r="V10" s="354">
        <f>SUM(S10:S15)</f>
        <v>0</v>
      </c>
      <c r="W10" s="357">
        <f>X10-V10</f>
        <v>1650000</v>
      </c>
      <c r="X10" s="360">
        <v>1650000</v>
      </c>
      <c r="Y10" s="363">
        <f>V10/X10</f>
        <v>0</v>
      </c>
      <c r="Z10" s="79"/>
      <c r="AA10" s="80"/>
      <c r="AB10" s="80"/>
      <c r="AC10" s="80"/>
      <c r="AD10" s="80"/>
    </row>
    <row r="11" spans="1:30" ht="30">
      <c r="A11" s="121"/>
      <c r="B11" s="245" t="s">
        <v>114</v>
      </c>
      <c r="C11" s="246" t="s">
        <v>115</v>
      </c>
      <c r="D11" s="247"/>
      <c r="E11" s="247">
        <v>10</v>
      </c>
      <c r="F11" s="248" t="s">
        <v>112</v>
      </c>
      <c r="G11" s="249"/>
      <c r="H11" s="249" t="s">
        <v>113</v>
      </c>
      <c r="I11" s="250">
        <v>3027</v>
      </c>
      <c r="J11" s="251">
        <v>41.71</v>
      </c>
      <c r="K11" s="252">
        <f t="shared" si="0"/>
        <v>126256.17</v>
      </c>
      <c r="L11" s="239">
        <v>0</v>
      </c>
      <c r="M11" s="253">
        <f t="shared" si="1"/>
        <v>0</v>
      </c>
      <c r="N11" s="239">
        <v>0</v>
      </c>
      <c r="O11" s="253">
        <f t="shared" si="2"/>
        <v>0</v>
      </c>
      <c r="P11" s="239">
        <v>0</v>
      </c>
      <c r="Q11" s="253">
        <f>P11*J11</f>
        <v>0</v>
      </c>
      <c r="R11" s="254">
        <f t="shared" si="3"/>
        <v>0</v>
      </c>
      <c r="S11" s="255">
        <f t="shared" si="4"/>
        <v>0</v>
      </c>
      <c r="T11" s="256">
        <f t="shared" si="5"/>
        <v>0</v>
      </c>
      <c r="U11" s="254">
        <f>I11</f>
        <v>3027</v>
      </c>
      <c r="V11" s="355"/>
      <c r="W11" s="358"/>
      <c r="X11" s="361"/>
      <c r="Y11" s="364"/>
      <c r="Z11" s="79"/>
      <c r="AA11" s="80"/>
      <c r="AB11" s="80"/>
      <c r="AC11" s="80"/>
      <c r="AD11" s="80"/>
    </row>
    <row r="12" spans="1:30" ht="30">
      <c r="A12" s="121"/>
      <c r="B12" s="245" t="s">
        <v>116</v>
      </c>
      <c r="C12" s="246" t="s">
        <v>117</v>
      </c>
      <c r="D12" s="247"/>
      <c r="E12" s="247">
        <v>10</v>
      </c>
      <c r="F12" s="248" t="s">
        <v>112</v>
      </c>
      <c r="G12" s="249"/>
      <c r="H12" s="249" t="s">
        <v>113</v>
      </c>
      <c r="I12" s="250">
        <f>I10+I11</f>
        <v>6024</v>
      </c>
      <c r="J12" s="251">
        <v>48.5</v>
      </c>
      <c r="K12" s="252">
        <f t="shared" si="0"/>
        <v>292164</v>
      </c>
      <c r="L12" s="239">
        <v>0</v>
      </c>
      <c r="M12" s="253">
        <f t="shared" si="1"/>
        <v>0</v>
      </c>
      <c r="N12" s="239">
        <v>0</v>
      </c>
      <c r="O12" s="253">
        <f t="shared" si="2"/>
        <v>0</v>
      </c>
      <c r="P12" s="239">
        <v>0</v>
      </c>
      <c r="Q12" s="253">
        <f>P12*J12</f>
        <v>0</v>
      </c>
      <c r="R12" s="254">
        <v>0</v>
      </c>
      <c r="S12" s="255">
        <f t="shared" si="4"/>
        <v>0</v>
      </c>
      <c r="T12" s="256">
        <f t="shared" si="5"/>
        <v>0</v>
      </c>
      <c r="U12" s="254">
        <f t="shared" ref="U12:U24" si="6">I12-R12</f>
        <v>6024</v>
      </c>
      <c r="V12" s="355"/>
      <c r="W12" s="358"/>
      <c r="X12" s="361"/>
      <c r="Y12" s="364"/>
      <c r="Z12" s="79"/>
      <c r="AA12" s="80"/>
      <c r="AB12" s="80"/>
      <c r="AC12" s="80"/>
      <c r="AD12" s="80"/>
    </row>
    <row r="13" spans="1:30" ht="18" customHeight="1">
      <c r="A13" s="121"/>
      <c r="B13" s="245" t="s">
        <v>118</v>
      </c>
      <c r="C13" s="257" t="s">
        <v>119</v>
      </c>
      <c r="D13" s="247"/>
      <c r="E13" s="247">
        <v>10</v>
      </c>
      <c r="F13" s="248" t="s">
        <v>112</v>
      </c>
      <c r="G13" s="249"/>
      <c r="H13" s="249" t="s">
        <v>113</v>
      </c>
      <c r="I13" s="250">
        <f>I10</f>
        <v>2997</v>
      </c>
      <c r="J13" s="251">
        <v>4.3</v>
      </c>
      <c r="K13" s="252">
        <f t="shared" si="0"/>
        <v>12887.1</v>
      </c>
      <c r="L13" s="239">
        <v>0</v>
      </c>
      <c r="M13" s="253">
        <f t="shared" si="1"/>
        <v>0</v>
      </c>
      <c r="N13" s="239">
        <v>0</v>
      </c>
      <c r="O13" s="253">
        <f t="shared" si="2"/>
        <v>0</v>
      </c>
      <c r="P13" s="239">
        <v>0</v>
      </c>
      <c r="Q13" s="253">
        <f>P13*J13</f>
        <v>0</v>
      </c>
      <c r="R13" s="254">
        <f t="shared" si="3"/>
        <v>0</v>
      </c>
      <c r="S13" s="255">
        <f t="shared" si="4"/>
        <v>0</v>
      </c>
      <c r="T13" s="256">
        <f t="shared" si="5"/>
        <v>0</v>
      </c>
      <c r="U13" s="254">
        <f t="shared" si="6"/>
        <v>2997</v>
      </c>
      <c r="V13" s="355"/>
      <c r="W13" s="358"/>
      <c r="X13" s="361"/>
      <c r="Y13" s="364"/>
      <c r="Z13" s="79"/>
      <c r="AA13" s="80"/>
      <c r="AB13" s="80"/>
      <c r="AC13" s="80"/>
      <c r="AD13" s="80"/>
    </row>
    <row r="14" spans="1:30" ht="30">
      <c r="A14" s="121"/>
      <c r="B14" s="245" t="s">
        <v>120</v>
      </c>
      <c r="C14" s="246" t="s">
        <v>121</v>
      </c>
      <c r="D14" s="247"/>
      <c r="E14" s="247">
        <v>10</v>
      </c>
      <c r="F14" s="248" t="s">
        <v>112</v>
      </c>
      <c r="G14" s="249"/>
      <c r="H14" s="249" t="s">
        <v>122</v>
      </c>
      <c r="I14" s="250">
        <v>51</v>
      </c>
      <c r="J14" s="251">
        <v>3938.2</v>
      </c>
      <c r="K14" s="252">
        <f t="shared" si="0"/>
        <v>200848.19999999998</v>
      </c>
      <c r="L14" s="239">
        <v>0</v>
      </c>
      <c r="M14" s="253">
        <f t="shared" si="1"/>
        <v>0</v>
      </c>
      <c r="N14" s="239">
        <v>0</v>
      </c>
      <c r="O14" s="253">
        <f t="shared" si="2"/>
        <v>0</v>
      </c>
      <c r="P14" s="239">
        <v>0</v>
      </c>
      <c r="Q14" s="253">
        <f>P14*M14</f>
        <v>0</v>
      </c>
      <c r="R14" s="254">
        <f t="shared" si="3"/>
        <v>0</v>
      </c>
      <c r="S14" s="255">
        <f t="shared" si="4"/>
        <v>0</v>
      </c>
      <c r="T14" s="256">
        <f t="shared" si="5"/>
        <v>0</v>
      </c>
      <c r="U14" s="254">
        <f t="shared" si="6"/>
        <v>51</v>
      </c>
      <c r="V14" s="355"/>
      <c r="W14" s="358"/>
      <c r="X14" s="361"/>
      <c r="Y14" s="364"/>
      <c r="Z14" s="79"/>
      <c r="AA14" s="80"/>
      <c r="AB14" s="80"/>
      <c r="AC14" s="80"/>
      <c r="AD14" s="80"/>
    </row>
    <row r="15" spans="1:30" ht="30.95" thickBot="1">
      <c r="A15" s="121"/>
      <c r="B15" s="258" t="s">
        <v>123</v>
      </c>
      <c r="C15" s="259" t="s">
        <v>124</v>
      </c>
      <c r="D15" s="260"/>
      <c r="E15" s="260">
        <v>10</v>
      </c>
      <c r="F15" s="261" t="s">
        <v>112</v>
      </c>
      <c r="G15" s="262"/>
      <c r="H15" s="262" t="s">
        <v>122</v>
      </c>
      <c r="I15" s="263">
        <v>7</v>
      </c>
      <c r="J15" s="264">
        <v>4268</v>
      </c>
      <c r="K15" s="265">
        <f t="shared" si="0"/>
        <v>29876</v>
      </c>
      <c r="L15" s="266">
        <v>0</v>
      </c>
      <c r="M15" s="267">
        <f t="shared" si="1"/>
        <v>0</v>
      </c>
      <c r="N15" s="266">
        <v>0</v>
      </c>
      <c r="O15" s="267">
        <f t="shared" si="2"/>
        <v>0</v>
      </c>
      <c r="P15" s="266">
        <v>0</v>
      </c>
      <c r="Q15" s="267">
        <f>P15*J15</f>
        <v>0</v>
      </c>
      <c r="R15" s="268">
        <f t="shared" si="3"/>
        <v>0</v>
      </c>
      <c r="S15" s="269">
        <f t="shared" si="4"/>
        <v>0</v>
      </c>
      <c r="T15" s="270">
        <f t="shared" si="5"/>
        <v>0</v>
      </c>
      <c r="U15" s="268">
        <f t="shared" si="6"/>
        <v>7</v>
      </c>
      <c r="V15" s="356"/>
      <c r="W15" s="359"/>
      <c r="X15" s="362"/>
      <c r="Y15" s="365"/>
      <c r="Z15" s="79"/>
      <c r="AA15" s="80"/>
      <c r="AB15" s="80"/>
      <c r="AC15" s="80"/>
      <c r="AD15" s="80"/>
    </row>
    <row r="16" spans="1:30" ht="18" customHeight="1">
      <c r="A16" s="122"/>
      <c r="B16" s="211" t="s">
        <v>125</v>
      </c>
      <c r="C16" s="181" t="s">
        <v>126</v>
      </c>
      <c r="D16" s="182"/>
      <c r="E16" s="182">
        <v>20</v>
      </c>
      <c r="F16" s="183" t="s">
        <v>127</v>
      </c>
      <c r="G16" s="184"/>
      <c r="H16" s="184" t="s">
        <v>122</v>
      </c>
      <c r="I16" s="185">
        <v>133</v>
      </c>
      <c r="J16" s="186">
        <v>1358</v>
      </c>
      <c r="K16" s="187">
        <f t="shared" si="0"/>
        <v>180614</v>
      </c>
      <c r="L16" s="188">
        <v>0</v>
      </c>
      <c r="M16" s="189">
        <f>J16*L16</f>
        <v>0</v>
      </c>
      <c r="N16" s="188">
        <v>0</v>
      </c>
      <c r="O16" s="189">
        <f t="shared" ref="O16:O24" si="7">$J16*N16</f>
        <v>0</v>
      </c>
      <c r="P16" s="188">
        <v>0</v>
      </c>
      <c r="Q16" s="189">
        <f t="shared" ref="Q16:Q24" si="8">$J16*P16</f>
        <v>0</v>
      </c>
      <c r="R16" s="190">
        <f t="shared" si="3"/>
        <v>0</v>
      </c>
      <c r="S16" s="191">
        <f t="shared" si="4"/>
        <v>0</v>
      </c>
      <c r="T16" s="192">
        <f t="shared" si="5"/>
        <v>0</v>
      </c>
      <c r="U16" s="190">
        <f t="shared" si="6"/>
        <v>133</v>
      </c>
      <c r="V16" s="342">
        <f>SUM(S16:S20)</f>
        <v>0</v>
      </c>
      <c r="W16" s="345">
        <f>X16-V16</f>
        <v>290000</v>
      </c>
      <c r="X16" s="348">
        <v>290000</v>
      </c>
      <c r="Y16" s="351">
        <f>V16/X16</f>
        <v>0</v>
      </c>
      <c r="Z16" s="79"/>
      <c r="AA16" s="80"/>
      <c r="AB16" s="80"/>
      <c r="AC16" s="80"/>
      <c r="AD16" s="80"/>
    </row>
    <row r="17" spans="1:30" ht="18" customHeight="1">
      <c r="A17" s="122"/>
      <c r="B17" s="212" t="s">
        <v>128</v>
      </c>
      <c r="C17" s="193" t="s">
        <v>129</v>
      </c>
      <c r="D17" s="125"/>
      <c r="E17" s="125">
        <v>20</v>
      </c>
      <c r="F17" s="124" t="s">
        <v>127</v>
      </c>
      <c r="G17" s="123"/>
      <c r="H17" s="123" t="s">
        <v>113</v>
      </c>
      <c r="I17" s="126">
        <v>766.5</v>
      </c>
      <c r="J17" s="127">
        <v>85.36</v>
      </c>
      <c r="K17" s="194">
        <f t="shared" si="0"/>
        <v>65428.44</v>
      </c>
      <c r="L17" s="195">
        <v>0</v>
      </c>
      <c r="M17" s="196">
        <f>J17*L17</f>
        <v>0</v>
      </c>
      <c r="N17" s="195">
        <v>0</v>
      </c>
      <c r="O17" s="196">
        <f t="shared" si="7"/>
        <v>0</v>
      </c>
      <c r="P17" s="195">
        <v>0</v>
      </c>
      <c r="Q17" s="196">
        <f t="shared" si="8"/>
        <v>0</v>
      </c>
      <c r="R17" s="197">
        <f t="shared" si="3"/>
        <v>0</v>
      </c>
      <c r="S17" s="128">
        <f t="shared" si="4"/>
        <v>0</v>
      </c>
      <c r="T17" s="198">
        <f t="shared" si="5"/>
        <v>0</v>
      </c>
      <c r="U17" s="197">
        <f t="shared" si="6"/>
        <v>766.5</v>
      </c>
      <c r="V17" s="343"/>
      <c r="W17" s="346"/>
      <c r="X17" s="349"/>
      <c r="Y17" s="352"/>
      <c r="Z17" s="79"/>
      <c r="AA17" s="80"/>
      <c r="AB17" s="80"/>
      <c r="AC17" s="80"/>
      <c r="AD17" s="80"/>
    </row>
    <row r="18" spans="1:30" ht="18" customHeight="1">
      <c r="A18" s="122"/>
      <c r="B18" s="212" t="s">
        <v>130</v>
      </c>
      <c r="C18" s="193" t="s">
        <v>131</v>
      </c>
      <c r="D18" s="125"/>
      <c r="E18" s="125">
        <v>20</v>
      </c>
      <c r="F18" s="124" t="s">
        <v>127</v>
      </c>
      <c r="G18" s="123"/>
      <c r="H18" s="123" t="s">
        <v>122</v>
      </c>
      <c r="I18" s="126">
        <f>I16</f>
        <v>133</v>
      </c>
      <c r="J18" s="127">
        <v>103</v>
      </c>
      <c r="K18" s="194">
        <f t="shared" si="0"/>
        <v>13699</v>
      </c>
      <c r="L18" s="195">
        <v>0</v>
      </c>
      <c r="M18" s="196">
        <f>J18*L18</f>
        <v>0</v>
      </c>
      <c r="N18" s="195">
        <v>0</v>
      </c>
      <c r="O18" s="196">
        <f t="shared" si="7"/>
        <v>0</v>
      </c>
      <c r="P18" s="195">
        <v>0</v>
      </c>
      <c r="Q18" s="196">
        <f t="shared" si="8"/>
        <v>0</v>
      </c>
      <c r="R18" s="197">
        <f t="shared" si="3"/>
        <v>0</v>
      </c>
      <c r="S18" s="128">
        <f t="shared" si="4"/>
        <v>0</v>
      </c>
      <c r="T18" s="198">
        <f t="shared" si="5"/>
        <v>0</v>
      </c>
      <c r="U18" s="197">
        <f t="shared" si="6"/>
        <v>133</v>
      </c>
      <c r="V18" s="343"/>
      <c r="W18" s="346"/>
      <c r="X18" s="349"/>
      <c r="Y18" s="352"/>
      <c r="Z18" s="79"/>
      <c r="AA18" s="80"/>
      <c r="AB18" s="80"/>
      <c r="AC18" s="80"/>
      <c r="AD18" s="80"/>
    </row>
    <row r="19" spans="1:30" ht="18" customHeight="1">
      <c r="A19" s="121"/>
      <c r="B19" s="212" t="s">
        <v>132</v>
      </c>
      <c r="C19" s="193" t="s">
        <v>133</v>
      </c>
      <c r="D19" s="125"/>
      <c r="E19" s="125">
        <v>20</v>
      </c>
      <c r="F19" s="124" t="s">
        <v>127</v>
      </c>
      <c r="G19" s="123"/>
      <c r="H19" s="123" t="s">
        <v>122</v>
      </c>
      <c r="I19" s="126">
        <v>24</v>
      </c>
      <c r="J19" s="127">
        <v>765.33</v>
      </c>
      <c r="K19" s="194">
        <f t="shared" si="0"/>
        <v>18367.920000000002</v>
      </c>
      <c r="L19" s="195">
        <v>0</v>
      </c>
      <c r="M19" s="196">
        <f>J19*L19</f>
        <v>0</v>
      </c>
      <c r="N19" s="195">
        <v>0</v>
      </c>
      <c r="O19" s="196">
        <f t="shared" si="7"/>
        <v>0</v>
      </c>
      <c r="P19" s="195">
        <v>0</v>
      </c>
      <c r="Q19" s="196">
        <f t="shared" si="8"/>
        <v>0</v>
      </c>
      <c r="R19" s="197">
        <f t="shared" si="3"/>
        <v>0</v>
      </c>
      <c r="S19" s="128">
        <f t="shared" si="4"/>
        <v>0</v>
      </c>
      <c r="T19" s="198">
        <f t="shared" si="5"/>
        <v>0</v>
      </c>
      <c r="U19" s="197">
        <f t="shared" si="6"/>
        <v>24</v>
      </c>
      <c r="V19" s="343"/>
      <c r="W19" s="346"/>
      <c r="X19" s="349"/>
      <c r="Y19" s="352"/>
      <c r="Z19" s="79"/>
      <c r="AA19" s="80"/>
      <c r="AB19" s="80"/>
      <c r="AC19" s="80"/>
      <c r="AD19" s="80"/>
    </row>
    <row r="20" spans="1:30" ht="30.95" thickBot="1">
      <c r="A20" s="82"/>
      <c r="B20" s="213" t="s">
        <v>134</v>
      </c>
      <c r="C20" s="199" t="s">
        <v>135</v>
      </c>
      <c r="D20" s="200"/>
      <c r="E20" s="200">
        <v>20</v>
      </c>
      <c r="F20" s="201" t="s">
        <v>127</v>
      </c>
      <c r="G20" s="202"/>
      <c r="H20" s="202" t="s">
        <v>122</v>
      </c>
      <c r="I20" s="203">
        <f>I17</f>
        <v>766.5</v>
      </c>
      <c r="J20" s="204">
        <v>14.55</v>
      </c>
      <c r="K20" s="205">
        <f t="shared" si="0"/>
        <v>11152.575000000001</v>
      </c>
      <c r="L20" s="206">
        <v>0</v>
      </c>
      <c r="M20" s="207">
        <f>$J20*L20</f>
        <v>0</v>
      </c>
      <c r="N20" s="206">
        <v>0</v>
      </c>
      <c r="O20" s="207">
        <f t="shared" si="7"/>
        <v>0</v>
      </c>
      <c r="P20" s="206">
        <v>0</v>
      </c>
      <c r="Q20" s="207">
        <f t="shared" si="8"/>
        <v>0</v>
      </c>
      <c r="R20" s="208">
        <f>L20+N20</f>
        <v>0</v>
      </c>
      <c r="S20" s="209">
        <f>M20+O20</f>
        <v>0</v>
      </c>
      <c r="T20" s="210">
        <f t="shared" si="5"/>
        <v>0</v>
      </c>
      <c r="U20" s="271">
        <f t="shared" si="6"/>
        <v>766.5</v>
      </c>
      <c r="V20" s="344"/>
      <c r="W20" s="347"/>
      <c r="X20" s="350"/>
      <c r="Y20" s="353"/>
      <c r="Z20" s="79"/>
      <c r="AA20" s="80"/>
      <c r="AB20" s="80"/>
      <c r="AC20" s="80"/>
      <c r="AD20" s="80"/>
    </row>
    <row r="21" spans="1:30" ht="18" customHeight="1">
      <c r="A21" s="82"/>
      <c r="B21" s="273" t="s">
        <v>136</v>
      </c>
      <c r="C21" s="274" t="s">
        <v>137</v>
      </c>
      <c r="D21" s="275"/>
      <c r="E21" s="275">
        <v>30</v>
      </c>
      <c r="F21" s="276" t="s">
        <v>138</v>
      </c>
      <c r="G21" s="277"/>
      <c r="H21" s="277" t="s">
        <v>139</v>
      </c>
      <c r="I21" s="278">
        <v>848</v>
      </c>
      <c r="J21" s="302">
        <v>112.52</v>
      </c>
      <c r="K21" s="303">
        <f>I21*J21</f>
        <v>95416.959999999992</v>
      </c>
      <c r="L21" s="304"/>
      <c r="M21" s="305"/>
      <c r="N21" s="313"/>
      <c r="O21" s="305"/>
      <c r="P21" s="304"/>
      <c r="Q21" s="305"/>
      <c r="R21" s="306"/>
      <c r="S21" s="307"/>
      <c r="T21" s="280"/>
      <c r="U21" s="306"/>
      <c r="V21" s="331">
        <f>SUM(S21:S23)</f>
        <v>0</v>
      </c>
      <c r="W21" s="325">
        <f>X21-V21</f>
        <v>195000</v>
      </c>
      <c r="X21" s="328">
        <v>195000</v>
      </c>
      <c r="Y21" s="334">
        <f>V21/X21</f>
        <v>0</v>
      </c>
      <c r="Z21" s="79"/>
      <c r="AA21" s="80"/>
      <c r="AB21" s="80"/>
      <c r="AC21" s="80"/>
      <c r="AD21" s="80"/>
    </row>
    <row r="22" spans="1:30" ht="30">
      <c r="A22" s="82"/>
      <c r="B22" s="294" t="s">
        <v>140</v>
      </c>
      <c r="C22" s="295" t="s">
        <v>141</v>
      </c>
      <c r="D22" s="296"/>
      <c r="E22" s="296">
        <v>30</v>
      </c>
      <c r="F22" s="297" t="s">
        <v>138</v>
      </c>
      <c r="G22" s="298"/>
      <c r="H22" s="298" t="s">
        <v>139</v>
      </c>
      <c r="I22" s="299">
        <v>848</v>
      </c>
      <c r="J22" s="300">
        <v>48.11</v>
      </c>
      <c r="K22" s="301">
        <f>I22*J22</f>
        <v>40797.279999999999</v>
      </c>
      <c r="L22" s="310"/>
      <c r="M22" s="311"/>
      <c r="N22" s="312"/>
      <c r="O22" s="311"/>
      <c r="P22" s="312"/>
      <c r="Q22" s="315"/>
      <c r="R22" s="314"/>
      <c r="S22" s="308"/>
      <c r="T22" s="281"/>
      <c r="U22" s="309"/>
      <c r="V22" s="332"/>
      <c r="W22" s="326"/>
      <c r="X22" s="329"/>
      <c r="Y22" s="335"/>
      <c r="Z22" s="79"/>
      <c r="AA22" s="80"/>
      <c r="AB22" s="80"/>
      <c r="AC22" s="80"/>
      <c r="AD22" s="80"/>
    </row>
    <row r="23" spans="1:30" ht="18" customHeight="1" thickBot="1">
      <c r="A23" s="82"/>
      <c r="B23" s="282" t="s">
        <v>142</v>
      </c>
      <c r="C23" s="283" t="s">
        <v>143</v>
      </c>
      <c r="D23" s="284"/>
      <c r="E23" s="284">
        <v>30</v>
      </c>
      <c r="F23" s="285" t="s">
        <v>138</v>
      </c>
      <c r="G23" s="286"/>
      <c r="H23" s="286" t="s">
        <v>139</v>
      </c>
      <c r="I23" s="287">
        <v>848</v>
      </c>
      <c r="J23" s="288">
        <v>68.290000000000006</v>
      </c>
      <c r="K23" s="279">
        <f>I23*J23</f>
        <v>57909.920000000006</v>
      </c>
      <c r="L23" s="289"/>
      <c r="M23" s="290"/>
      <c r="N23" s="289"/>
      <c r="O23" s="290"/>
      <c r="P23" s="289"/>
      <c r="Q23" s="290"/>
      <c r="R23" s="291"/>
      <c r="S23" s="292"/>
      <c r="T23" s="293"/>
      <c r="U23" s="291"/>
      <c r="V23" s="333"/>
      <c r="W23" s="327"/>
      <c r="X23" s="330"/>
      <c r="Y23" s="336"/>
      <c r="Z23" s="79"/>
      <c r="AA23" s="80"/>
      <c r="AB23" s="80"/>
      <c r="AC23" s="80"/>
      <c r="AD23" s="80"/>
    </row>
    <row r="24" spans="1:30" ht="18" customHeight="1" thickBot="1">
      <c r="A24" s="82"/>
      <c r="B24" s="214" t="s">
        <v>144</v>
      </c>
      <c r="C24" s="215" t="s">
        <v>145</v>
      </c>
      <c r="D24" s="216"/>
      <c r="E24" s="216">
        <v>40</v>
      </c>
      <c r="F24" s="217" t="s">
        <v>146</v>
      </c>
      <c r="G24" s="218"/>
      <c r="H24" s="219" t="s">
        <v>147</v>
      </c>
      <c r="I24" s="220">
        <v>86736.76</v>
      </c>
      <c r="J24" s="221">
        <v>1</v>
      </c>
      <c r="K24" s="222">
        <f>J24*I24</f>
        <v>86736.76</v>
      </c>
      <c r="L24" s="223"/>
      <c r="M24" s="224">
        <f>$J24*L24</f>
        <v>0</v>
      </c>
      <c r="N24" s="223"/>
      <c r="O24" s="224">
        <f t="shared" si="7"/>
        <v>0</v>
      </c>
      <c r="P24" s="223"/>
      <c r="Q24" s="224">
        <f t="shared" si="8"/>
        <v>0</v>
      </c>
      <c r="R24" s="225">
        <f>L24+N24+P24</f>
        <v>0</v>
      </c>
      <c r="S24" s="226">
        <f>M24+O24</f>
        <v>0</v>
      </c>
      <c r="T24" s="227">
        <f t="shared" si="5"/>
        <v>0</v>
      </c>
      <c r="U24" s="225">
        <f t="shared" si="6"/>
        <v>86736.76</v>
      </c>
      <c r="V24" s="228">
        <v>0</v>
      </c>
      <c r="W24" s="229">
        <f>X24-V24</f>
        <v>86736.76</v>
      </c>
      <c r="X24" s="229">
        <f>J24*I24</f>
        <v>86736.76</v>
      </c>
      <c r="Y24" s="230">
        <f>V24/X24</f>
        <v>0</v>
      </c>
      <c r="Z24" s="79"/>
      <c r="AA24" s="80"/>
      <c r="AB24" s="80"/>
      <c r="AC24" s="80"/>
      <c r="AD24" s="80"/>
    </row>
    <row r="25" spans="1:30" ht="36.950000000000003" customHeight="1">
      <c r="A25" s="82"/>
      <c r="C25" s="129"/>
      <c r="D25" s="129"/>
      <c r="E25" s="129"/>
      <c r="F25" s="129"/>
      <c r="G25" s="129"/>
      <c r="H25" s="129"/>
      <c r="I25" s="129"/>
      <c r="J25" s="145"/>
      <c r="K25" s="145"/>
      <c r="L25" s="316"/>
      <c r="M25" s="146">
        <f>SUM(M10:M24)</f>
        <v>0</v>
      </c>
      <c r="N25" s="316"/>
      <c r="O25" s="146">
        <f>SUM(O10:O24)</f>
        <v>0</v>
      </c>
      <c r="P25" s="316"/>
      <c r="Q25" s="146">
        <f>SUM(Q10:Q24)</f>
        <v>0</v>
      </c>
      <c r="R25" s="316"/>
      <c r="S25" s="146">
        <f>SUM(S10:S24)</f>
        <v>0</v>
      </c>
      <c r="T25" s="146">
        <f>S25/X25</f>
        <v>0</v>
      </c>
      <c r="U25" s="272"/>
      <c r="V25" s="318">
        <f>SUM(V10:V24)</f>
        <v>0</v>
      </c>
      <c r="W25" s="318">
        <f>X25-V25</f>
        <v>2221736.7599999998</v>
      </c>
      <c r="X25" s="318">
        <f>SUM(X10:X24)</f>
        <v>2221736.7599999998</v>
      </c>
      <c r="Y25" s="320">
        <f>V25/X25</f>
        <v>0</v>
      </c>
      <c r="Z25" s="79"/>
      <c r="AA25" s="80"/>
      <c r="AB25" s="80"/>
      <c r="AC25" s="80"/>
      <c r="AD25" s="80"/>
    </row>
    <row r="26" spans="1:30" ht="14.1" customHeight="1">
      <c r="B26" s="77"/>
      <c r="C26" s="75"/>
      <c r="D26" s="111"/>
      <c r="E26" s="111"/>
      <c r="F26" s="111"/>
      <c r="G26" s="87"/>
      <c r="H26" s="112"/>
      <c r="I26" s="113"/>
      <c r="J26" s="112"/>
      <c r="K26" s="112"/>
      <c r="L26" s="317"/>
      <c r="M26" s="112"/>
      <c r="N26" s="317"/>
      <c r="O26" s="112"/>
      <c r="P26" s="317"/>
      <c r="Q26" s="112"/>
      <c r="R26" s="317"/>
      <c r="S26" s="74"/>
      <c r="T26" s="74"/>
      <c r="U26" s="75"/>
      <c r="V26" s="319"/>
      <c r="W26" s="319"/>
      <c r="X26" s="319"/>
      <c r="Y26" s="321"/>
      <c r="Z26" s="80"/>
      <c r="AA26" s="80"/>
      <c r="AB26" s="80"/>
      <c r="AC26" s="80"/>
      <c r="AD26" s="80"/>
    </row>
    <row r="27" spans="1:30" ht="12.95" customHeight="1">
      <c r="B27" s="77" t="s">
        <v>11</v>
      </c>
      <c r="C27" s="111"/>
      <c r="D27" s="111"/>
      <c r="E27" s="111"/>
      <c r="F27" s="111"/>
      <c r="G27" s="87"/>
      <c r="H27" s="74"/>
      <c r="I27" s="74"/>
      <c r="J27" s="74"/>
      <c r="K27" s="74"/>
      <c r="L27" s="74"/>
      <c r="M27" s="114"/>
      <c r="N27" s="115"/>
      <c r="O27" s="74"/>
      <c r="P27" s="115"/>
      <c r="Q27" s="74"/>
      <c r="R27" s="74"/>
      <c r="S27" s="74"/>
      <c r="T27" s="74"/>
      <c r="U27" s="74"/>
      <c r="V27" s="74"/>
      <c r="W27" s="74"/>
      <c r="X27" s="75"/>
      <c r="Z27" s="80"/>
      <c r="AA27" s="80"/>
      <c r="AB27" s="80"/>
      <c r="AC27" s="80"/>
      <c r="AD27" s="80"/>
    </row>
    <row r="28" spans="1:30" s="75" customFormat="1" ht="12.95" customHeight="1">
      <c r="B28" s="77" t="s">
        <v>11</v>
      </c>
      <c r="G28" s="87"/>
      <c r="H28" s="74"/>
      <c r="I28" s="74"/>
      <c r="J28" s="74"/>
      <c r="K28" s="74"/>
      <c r="L28" s="74"/>
      <c r="M28" s="74"/>
      <c r="N28" s="116"/>
      <c r="O28" s="74"/>
      <c r="P28" s="116"/>
      <c r="Q28" s="74"/>
      <c r="R28" s="74"/>
      <c r="S28" s="74"/>
      <c r="T28" s="74"/>
      <c r="U28" s="74"/>
      <c r="V28" s="74"/>
      <c r="W28" s="74"/>
      <c r="Z28" s="78"/>
      <c r="AA28" s="78"/>
      <c r="AB28" s="78"/>
      <c r="AC28" s="78"/>
      <c r="AD28" s="78"/>
    </row>
    <row r="29" spans="1:30" s="75" customFormat="1" ht="12.95" customHeight="1">
      <c r="B29" s="77" t="s">
        <v>11</v>
      </c>
      <c r="G29" s="87"/>
      <c r="H29" s="74"/>
      <c r="I29" s="74"/>
      <c r="J29" s="74"/>
      <c r="K29" s="74"/>
      <c r="L29" s="74"/>
      <c r="M29" s="74"/>
      <c r="N29" s="116"/>
      <c r="O29" s="74"/>
      <c r="P29" s="116"/>
      <c r="Q29" s="74"/>
      <c r="R29" s="74"/>
      <c r="S29" s="74"/>
      <c r="T29" s="74"/>
      <c r="U29" s="74"/>
      <c r="V29" s="74"/>
      <c r="W29" s="74"/>
      <c r="Z29" s="78"/>
      <c r="AA29" s="78"/>
      <c r="AB29" s="80"/>
      <c r="AC29" s="80"/>
      <c r="AD29" s="78"/>
    </row>
    <row r="30" spans="1:30" ht="12.95" customHeight="1">
      <c r="B30" s="77"/>
      <c r="C30" s="75"/>
      <c r="D30" s="75"/>
      <c r="E30" s="75"/>
      <c r="F30" s="75"/>
      <c r="G30" s="87"/>
      <c r="H30" s="74"/>
      <c r="I30" s="74"/>
      <c r="J30" s="74"/>
      <c r="K30" s="74"/>
      <c r="L30" s="75"/>
      <c r="M30" s="75"/>
      <c r="N30" s="75"/>
      <c r="O30" s="74"/>
      <c r="P30" s="75"/>
      <c r="Q30" s="74"/>
      <c r="R30" s="74"/>
      <c r="S30" s="74"/>
      <c r="T30" s="74"/>
      <c r="U30" s="74"/>
      <c r="V30" s="74"/>
      <c r="W30" s="74"/>
      <c r="X30" s="75"/>
      <c r="Y30" s="75"/>
      <c r="Z30" s="78"/>
      <c r="AA30" s="78"/>
      <c r="AB30" s="80"/>
      <c r="AC30" s="80"/>
      <c r="AD30" s="80"/>
    </row>
    <row r="31" spans="1:30" ht="12.95" customHeight="1">
      <c r="B31" s="77"/>
      <c r="C31" s="75"/>
      <c r="D31" s="75"/>
      <c r="E31" s="75"/>
      <c r="F31" s="75"/>
      <c r="G31" s="87"/>
      <c r="H31" s="117"/>
      <c r="I31" s="76"/>
      <c r="J31" s="74"/>
      <c r="K31" s="74"/>
      <c r="L31" s="75"/>
      <c r="M31" s="75"/>
      <c r="N31" s="75"/>
      <c r="O31" s="74"/>
      <c r="P31" s="75"/>
      <c r="Q31" s="74"/>
      <c r="R31" s="74"/>
      <c r="S31" s="74"/>
      <c r="T31" s="74"/>
      <c r="U31" s="74"/>
      <c r="V31" s="74"/>
      <c r="W31" s="74"/>
      <c r="X31" s="75"/>
      <c r="Y31" s="75"/>
      <c r="Z31" s="78"/>
      <c r="AA31" s="78"/>
      <c r="AB31" s="80"/>
      <c r="AC31" s="80"/>
      <c r="AD31" s="80"/>
    </row>
    <row r="32" spans="1:30" ht="18.95" customHeight="1">
      <c r="C32" s="118"/>
      <c r="D32" s="75"/>
      <c r="E32" s="75"/>
      <c r="F32" s="75"/>
      <c r="G32" s="87"/>
      <c r="H32" s="117"/>
      <c r="I32" s="76"/>
      <c r="J32" s="114"/>
      <c r="K32" s="114"/>
      <c r="L32" s="75"/>
      <c r="M32" s="81"/>
      <c r="N32" s="75"/>
      <c r="O32" s="74"/>
      <c r="P32" s="75"/>
      <c r="Q32" s="74"/>
      <c r="R32" s="74"/>
      <c r="S32" s="74"/>
      <c r="T32" s="74"/>
      <c r="U32" s="74"/>
      <c r="V32" s="74"/>
      <c r="W32" s="74"/>
      <c r="X32" s="75"/>
      <c r="Y32" s="75"/>
      <c r="Z32" s="78"/>
      <c r="AA32" s="78"/>
      <c r="AB32" s="80"/>
      <c r="AC32" s="80"/>
      <c r="AD32" s="80"/>
    </row>
    <row r="33" spans="2:30" ht="12.95" customHeight="1">
      <c r="B33" s="77"/>
      <c r="C33" s="75"/>
      <c r="D33" s="75"/>
      <c r="E33" s="75"/>
      <c r="F33" s="75"/>
      <c r="G33" s="87"/>
      <c r="H33" s="117"/>
      <c r="I33" s="76"/>
      <c r="J33" s="74"/>
      <c r="K33" s="74"/>
      <c r="L33" s="75"/>
      <c r="M33" s="75"/>
      <c r="N33" s="75"/>
      <c r="O33" s="74"/>
      <c r="P33" s="75"/>
      <c r="Q33" s="74"/>
      <c r="R33" s="74"/>
      <c r="S33" s="74"/>
      <c r="T33" s="74"/>
      <c r="U33" s="74"/>
      <c r="V33" s="74"/>
      <c r="W33" s="74"/>
      <c r="X33" s="75"/>
      <c r="Y33" s="75"/>
      <c r="Z33" s="78"/>
      <c r="AA33" s="78"/>
      <c r="AB33" s="80"/>
      <c r="AC33" s="80"/>
      <c r="AD33" s="80"/>
    </row>
    <row r="34" spans="2:30" ht="12.95" customHeight="1">
      <c r="B34" s="77"/>
      <c r="C34" s="75"/>
      <c r="D34" s="75"/>
      <c r="E34" s="75"/>
      <c r="F34" s="75"/>
      <c r="G34" s="87"/>
      <c r="H34" s="117"/>
      <c r="I34" s="76"/>
      <c r="J34" s="74"/>
      <c r="K34" s="74"/>
      <c r="L34" s="75"/>
      <c r="M34" s="75"/>
      <c r="N34" s="75"/>
      <c r="O34" s="74"/>
      <c r="P34" s="75"/>
      <c r="Q34" s="74"/>
      <c r="R34" s="74"/>
      <c r="S34" s="74"/>
      <c r="T34" s="74"/>
      <c r="U34" s="74"/>
      <c r="V34" s="74"/>
      <c r="W34" s="74"/>
      <c r="X34" s="75"/>
      <c r="Y34" s="75"/>
      <c r="Z34" s="78"/>
      <c r="AA34" s="78"/>
      <c r="AB34" s="80"/>
      <c r="AC34" s="80"/>
      <c r="AD34" s="80"/>
    </row>
    <row r="35" spans="2:30" ht="12.95" customHeight="1">
      <c r="B35" s="77"/>
      <c r="C35" s="75"/>
      <c r="D35" s="75"/>
      <c r="E35" s="75"/>
      <c r="F35" s="75"/>
      <c r="G35" s="87"/>
      <c r="H35" s="117"/>
      <c r="I35" s="76"/>
      <c r="J35" s="74"/>
      <c r="K35" s="74"/>
      <c r="L35" s="75"/>
      <c r="M35" s="75"/>
      <c r="N35" s="75"/>
      <c r="O35" s="74"/>
      <c r="P35" s="75"/>
      <c r="Q35" s="74"/>
      <c r="R35" s="74"/>
      <c r="S35" s="74"/>
      <c r="T35" s="74"/>
      <c r="U35" s="74"/>
      <c r="V35" s="74"/>
      <c r="W35" s="74"/>
      <c r="X35" s="75"/>
      <c r="Y35" s="75"/>
      <c r="Z35" s="78"/>
      <c r="AA35" s="78"/>
      <c r="AB35" s="80"/>
      <c r="AC35" s="80"/>
      <c r="AD35" s="80"/>
    </row>
    <row r="36" spans="2:30" ht="12.95" customHeight="1">
      <c r="B36" s="77"/>
      <c r="C36" s="75"/>
      <c r="D36" s="75"/>
      <c r="E36" s="75"/>
      <c r="F36" s="75"/>
      <c r="G36" s="87"/>
      <c r="H36" s="117"/>
      <c r="I36" s="76"/>
      <c r="J36" s="74"/>
      <c r="K36" s="74"/>
      <c r="L36" s="75"/>
      <c r="M36" s="75"/>
      <c r="N36" s="75"/>
      <c r="O36" s="75"/>
      <c r="P36" s="75"/>
      <c r="Q36" s="74"/>
      <c r="R36" s="74"/>
      <c r="S36" s="74"/>
      <c r="T36" s="74"/>
      <c r="U36" s="74"/>
      <c r="V36" s="74"/>
      <c r="W36" s="74"/>
      <c r="X36" s="75"/>
      <c r="Y36" s="75"/>
      <c r="Z36" s="78"/>
      <c r="AA36" s="78"/>
      <c r="AB36" s="80"/>
      <c r="AC36" s="80"/>
      <c r="AD36" s="80"/>
    </row>
    <row r="37" spans="2:30" ht="12.95" customHeight="1">
      <c r="B37" s="77"/>
      <c r="C37" s="75"/>
      <c r="D37" s="75"/>
      <c r="E37" s="75"/>
      <c r="F37" s="75"/>
      <c r="G37" s="87"/>
      <c r="H37" s="117"/>
      <c r="I37" s="76"/>
      <c r="J37" s="74"/>
      <c r="K37" s="74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8"/>
      <c r="AA37" s="78"/>
      <c r="AB37" s="80"/>
      <c r="AC37" s="80"/>
      <c r="AD37" s="80"/>
    </row>
    <row r="38" spans="2:30" ht="12.95" customHeight="1">
      <c r="B38" s="77"/>
      <c r="C38" s="75"/>
      <c r="D38" s="75"/>
      <c r="E38" s="75"/>
      <c r="F38" s="75"/>
      <c r="G38" s="87"/>
      <c r="H38" s="117"/>
      <c r="I38" s="76"/>
      <c r="J38" s="74"/>
      <c r="K38" s="74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8"/>
      <c r="AA38" s="78"/>
      <c r="AB38" s="80"/>
      <c r="AC38" s="80"/>
      <c r="AD38" s="80"/>
    </row>
    <row r="39" spans="2:30" ht="12.95" customHeight="1">
      <c r="B39" s="77"/>
      <c r="C39" s="75"/>
      <c r="D39" s="75"/>
      <c r="E39" s="75"/>
      <c r="F39" s="75"/>
      <c r="G39" s="87"/>
      <c r="H39" s="117"/>
      <c r="I39" s="76"/>
      <c r="J39" s="74"/>
      <c r="K39" s="74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8"/>
      <c r="AA39" s="78"/>
      <c r="AB39" s="80"/>
      <c r="AC39" s="80"/>
      <c r="AD39" s="80"/>
    </row>
    <row r="40" spans="2:30" ht="12.95" customHeight="1">
      <c r="B40" s="77"/>
      <c r="C40" s="75"/>
      <c r="D40" s="75"/>
      <c r="E40" s="75"/>
      <c r="F40" s="75"/>
      <c r="G40" s="87"/>
      <c r="H40" s="117"/>
      <c r="I40" s="76"/>
      <c r="J40" s="74"/>
      <c r="K40" s="74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</row>
    <row r="41" spans="2:30" ht="12.95" customHeight="1">
      <c r="B41" s="77"/>
      <c r="C41" s="75"/>
      <c r="D41" s="75"/>
      <c r="E41" s="75"/>
      <c r="F41" s="75"/>
      <c r="G41" s="87"/>
      <c r="H41" s="117"/>
      <c r="I41" s="76"/>
      <c r="J41" s="74"/>
      <c r="K41" s="74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</row>
    <row r="42" spans="2:30" ht="12.95" customHeight="1">
      <c r="B42" s="77"/>
      <c r="C42" s="75"/>
      <c r="D42" s="75"/>
      <c r="E42" s="75"/>
      <c r="F42" s="75"/>
      <c r="G42" s="87"/>
      <c r="H42" s="117"/>
      <c r="I42" s="76"/>
      <c r="J42" s="74"/>
      <c r="K42" s="74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</row>
    <row r="43" spans="2:30" ht="12.95" customHeight="1">
      <c r="B43" s="77"/>
      <c r="C43" s="75"/>
      <c r="D43" s="75"/>
      <c r="E43" s="75"/>
      <c r="F43" s="75"/>
      <c r="G43" s="87"/>
      <c r="H43" s="117"/>
      <c r="I43" s="76"/>
      <c r="J43" s="74"/>
      <c r="K43" s="74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</row>
    <row r="44" spans="2:30" ht="12.95" customHeight="1">
      <c r="B44" s="77"/>
      <c r="C44" s="75"/>
      <c r="D44" s="75"/>
      <c r="E44" s="75"/>
      <c r="F44" s="75"/>
      <c r="G44" s="87"/>
      <c r="H44" s="117"/>
      <c r="I44" s="76"/>
      <c r="J44" s="74"/>
      <c r="K44" s="74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</row>
    <row r="45" spans="2:30" ht="12.95" customHeight="1">
      <c r="H45" s="117"/>
      <c r="J45" s="74"/>
      <c r="K45" s="74"/>
    </row>
    <row r="47" spans="2:30" ht="12.95" customHeight="1">
      <c r="H47" s="117"/>
      <c r="J47" s="74"/>
      <c r="K47" s="74"/>
    </row>
    <row r="48" spans="2:30" ht="12.95" customHeight="1">
      <c r="H48" s="117"/>
      <c r="J48" s="74"/>
      <c r="K48" s="74"/>
    </row>
    <row r="49" spans="8:8">
      <c r="H49" s="117"/>
    </row>
    <row r="50" spans="8:8">
      <c r="H50" s="117"/>
    </row>
    <row r="51" spans="8:8">
      <c r="H51" s="117"/>
    </row>
    <row r="52" spans="8:8">
      <c r="H52" s="117"/>
    </row>
    <row r="53" spans="8:8">
      <c r="H53" s="117"/>
    </row>
    <row r="54" spans="8:8">
      <c r="H54" s="117"/>
    </row>
    <row r="55" spans="8:8">
      <c r="H55" s="117"/>
    </row>
    <row r="56" spans="8:8">
      <c r="H56" s="117"/>
    </row>
    <row r="104" spans="2:25" s="69" customFormat="1" ht="12" hidden="1" customHeight="1">
      <c r="B104" s="73"/>
      <c r="G104" s="88"/>
      <c r="H104" s="72"/>
      <c r="I104" s="71"/>
      <c r="Y104" s="70">
        <v>1</v>
      </c>
    </row>
  </sheetData>
  <mergeCells count="27">
    <mergeCell ref="A2:A6"/>
    <mergeCell ref="B8:K8"/>
    <mergeCell ref="L8:M8"/>
    <mergeCell ref="N8:O8"/>
    <mergeCell ref="V16:V20"/>
    <mergeCell ref="V10:V15"/>
    <mergeCell ref="Y25:Y26"/>
    <mergeCell ref="R25:R26"/>
    <mergeCell ref="P25:P26"/>
    <mergeCell ref="U8:Y8"/>
    <mergeCell ref="W21:W23"/>
    <mergeCell ref="X21:X23"/>
    <mergeCell ref="V21:V23"/>
    <mergeCell ref="Y21:Y23"/>
    <mergeCell ref="P8:Q8"/>
    <mergeCell ref="R8:T8"/>
    <mergeCell ref="W16:W20"/>
    <mergeCell ref="X16:X20"/>
    <mergeCell ref="Y16:Y20"/>
    <mergeCell ref="W10:W15"/>
    <mergeCell ref="X10:X15"/>
    <mergeCell ref="Y10:Y15"/>
    <mergeCell ref="N25:N26"/>
    <mergeCell ref="L25:L26"/>
    <mergeCell ref="V25:V26"/>
    <mergeCell ref="W25:W26"/>
    <mergeCell ref="X25:X26"/>
  </mergeCells>
  <phoneticPr fontId="5" type="noConversion"/>
  <pageMargins left="0.7" right="0.7" top="0.75" bottom="0.75" header="0.3" footer="0.3"/>
  <pageSetup paperSize="9" orientation="portrait" horizontalDpi="1200" verticalDpi="1200" r:id="rId1"/>
  <headerFooter>
    <oddFooter>&amp;C_x000D_&amp;1#&amp;"Calibri"&amp;10&amp;K000000 Italgas S.p.A - Informazioni Interne</oddFooter>
  </headerFooter>
  <ignoredErrors>
    <ignoredError sqref="U11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321C7-7259-8942-ABC2-AC1091391BB3}">
  <dimension ref="A1"/>
  <sheetViews>
    <sheetView workbookViewId="0"/>
  </sheetViews>
  <sheetFormatPr defaultColWidth="11" defaultRowHeight="15.9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6A4A7-FA14-E643-853D-3AD8420C2854}">
  <sheetPr codeName="Foglio3"/>
  <dimension ref="A1:P31"/>
  <sheetViews>
    <sheetView zoomScale="106" workbookViewId="0">
      <selection activeCell="D2" sqref="D2"/>
    </sheetView>
  </sheetViews>
  <sheetFormatPr defaultColWidth="11" defaultRowHeight="15.95"/>
  <cols>
    <col min="1" max="1" width="12.625" style="5" customWidth="1"/>
    <col min="2" max="13" width="26.375" style="1" customWidth="1"/>
  </cols>
  <sheetData>
    <row r="1" spans="1:16" ht="51">
      <c r="A1" s="144" t="s">
        <v>148</v>
      </c>
      <c r="B1" s="138" t="s">
        <v>30</v>
      </c>
      <c r="C1" s="139" t="s">
        <v>149</v>
      </c>
      <c r="D1" s="140" t="s">
        <v>150</v>
      </c>
      <c r="E1" s="141" t="s">
        <v>151</v>
      </c>
      <c r="F1" s="48" t="s">
        <v>152</v>
      </c>
      <c r="G1" s="48" t="s">
        <v>32</v>
      </c>
      <c r="H1" s="48" t="s">
        <v>153</v>
      </c>
      <c r="I1" s="48" t="s">
        <v>34</v>
      </c>
      <c r="J1" s="48" t="s">
        <v>35</v>
      </c>
      <c r="K1" s="142" t="s">
        <v>154</v>
      </c>
      <c r="L1" s="143" t="s">
        <v>155</v>
      </c>
      <c r="M1" s="143" t="s">
        <v>38</v>
      </c>
      <c r="P1" s="1"/>
    </row>
    <row r="2" spans="1:16" ht="18" customHeight="1">
      <c r="A2" s="27" t="s">
        <v>156</v>
      </c>
      <c r="B2" s="28" t="str">
        <f>IF(SUMIF('Registro operativo'!A:A,Dati!A2,'Registro operativo'!H:H)=0,"",SUMIF('Registro operativo'!A:A,Dati!A2,'Registro operativo'!H:H))</f>
        <v/>
      </c>
      <c r="C2" s="61" t="str">
        <f>B2</f>
        <v/>
      </c>
      <c r="D2" s="61">
        <f>SUMIF('Project Calendar 2026'!C:C,Dati!A2,'Project Calendar 2026'!F:F)</f>
        <v>0</v>
      </c>
      <c r="E2" s="61">
        <f>D2</f>
        <v>0</v>
      </c>
      <c r="F2" s="28" t="str">
        <f>IF(COUNTIF('Registro operativo'!A:A,Dati!A2)=0,"",SUMIF('Registro operativo'!A:A,Dati!A2,'Registro operativo'!I:I))</f>
        <v/>
      </c>
      <c r="G2" s="28">
        <f>SUMIF('Registro operativo'!A:A,Dati!A2,'Registro operativo'!J:J)</f>
        <v>0</v>
      </c>
      <c r="H2" s="28">
        <f>SUMIF('Registro operativo'!A:A,Dati!A2,'Registro operativo'!K:K)</f>
        <v>0</v>
      </c>
      <c r="I2" s="28">
        <f>SUMIF('Registro operativo'!A:A,Dati!A2,'Registro operativo'!L:L)</f>
        <v>0</v>
      </c>
      <c r="J2" s="28">
        <f>SUMIF('Registro operativo'!A:A,Dati!A2,'Registro operativo'!M:M)</f>
        <v>0</v>
      </c>
      <c r="K2" s="28" t="e">
        <f>IF(OR(NOT(ISNUMBER(B2)), B2=0), NA(), B2/L2)</f>
        <v>#N/A</v>
      </c>
      <c r="L2" s="28" t="str">
        <f>IFERROR(AVERAGEIF('Registro operativo'!$A:$A,Dati!A2,'Registro operativo'!O:O)," ")</f>
        <v xml:space="preserve"> </v>
      </c>
      <c r="M2" s="28" t="str">
        <f>IFERROR(AVERAGEIF('Registro operativo'!$A:$A,Dati!A2,'Registro operativo'!P:P)," ")</f>
        <v xml:space="preserve"> </v>
      </c>
    </row>
    <row r="3" spans="1:16" ht="18" customHeight="1">
      <c r="A3" s="27" t="s">
        <v>157</v>
      </c>
      <c r="B3" s="28" t="str">
        <f>IF(SUMIF('Registro operativo'!A:A,Dati!A3,'Registro operativo'!H:H)=0,"",SUMIF('Registro operativo'!A:A,Dati!A3,'Registro operativo'!H:H))</f>
        <v/>
      </c>
      <c r="C3" s="61" t="e">
        <f>IF(B3="",NA(),C2+B3)</f>
        <v>#N/A</v>
      </c>
      <c r="D3" s="61">
        <f>SUMIF('Project Calendar 2026'!C:C,Dati!A3,'Project Calendar 2026'!F:F)</f>
        <v>0</v>
      </c>
      <c r="E3" s="61">
        <f>E2+D3</f>
        <v>0</v>
      </c>
      <c r="F3" s="28">
        <f>SUMIF('Registro operativo'!A:A,Dati!A3,'Registro operativo'!I:I)</f>
        <v>0</v>
      </c>
      <c r="G3" s="28">
        <f>SUMIF('Registro operativo'!A:A,Dati!A3,'Registro operativo'!J:J)</f>
        <v>0</v>
      </c>
      <c r="H3" s="28">
        <f>SUMIF('Registro operativo'!A:A,Dati!A3,'Registro operativo'!K:K)</f>
        <v>0</v>
      </c>
      <c r="I3" s="28">
        <f>SUMIF('Registro operativo'!A:A,Dati!A3,'Registro operativo'!L:L)</f>
        <v>0</v>
      </c>
      <c r="J3" s="28">
        <f>SUMIF('Registro operativo'!A:A,Dati!A3,'Registro operativo'!M:M)</f>
        <v>0</v>
      </c>
      <c r="K3" s="28" t="e">
        <f t="shared" ref="K3:K30" si="0">IF(OR(NOT(ISNUMBER(B3)), B3=0), NA(), B3/L3)</f>
        <v>#N/A</v>
      </c>
      <c r="L3" s="28" t="str">
        <f>IFERROR(AVERAGEIF('Registro operativo'!$A:$A,Dati!A3,'Registro operativo'!O:O)," ")</f>
        <v xml:space="preserve"> </v>
      </c>
      <c r="M3" s="28" t="str">
        <f>IFERROR(AVERAGEIF('Registro operativo'!$A:$A,Dati!A3,'Registro operativo'!P:P)," ")</f>
        <v xml:space="preserve"> </v>
      </c>
    </row>
    <row r="4" spans="1:16" ht="18" customHeight="1">
      <c r="A4" s="27" t="s">
        <v>158</v>
      </c>
      <c r="B4" s="28" t="str">
        <f>IF(SUMIF('Registro operativo'!A:A,Dati!A4,'Registro operativo'!H:H)=0,"",SUMIF('Registro operativo'!A:A,Dati!A4,'Registro operativo'!H:H))</f>
        <v/>
      </c>
      <c r="C4" s="61" t="e">
        <f>IF(TRIM(B4)="", NA(), SUM(C3,B4))</f>
        <v>#N/A</v>
      </c>
      <c r="D4" s="61">
        <f>SUMIF('Project Calendar 2026'!C:C,Dati!A4,'Project Calendar 2026'!F:F)</f>
        <v>0</v>
      </c>
      <c r="E4" s="61">
        <f>E3+D4</f>
        <v>0</v>
      </c>
      <c r="F4" s="28">
        <f>SUMIF('Registro operativo'!A:A,Dati!A4,'Registro operativo'!I:I)</f>
        <v>0</v>
      </c>
      <c r="G4" s="28">
        <f>SUMIF('Registro operativo'!A:A,Dati!A4,'Registro operativo'!J:J)</f>
        <v>0</v>
      </c>
      <c r="H4" s="28">
        <f>SUMIF('Registro operativo'!A:A,Dati!A4,'Registro operativo'!K:K)</f>
        <v>0</v>
      </c>
      <c r="I4" s="28">
        <f>SUMIF('Registro operativo'!A:A,Dati!A4,'Registro operativo'!L:L)</f>
        <v>0</v>
      </c>
      <c r="J4" s="28">
        <f>SUMIF('Registro operativo'!A:A,Dati!A4,'Registro operativo'!M:M)</f>
        <v>0</v>
      </c>
      <c r="K4" s="28" t="e">
        <f t="shared" si="0"/>
        <v>#N/A</v>
      </c>
      <c r="L4" s="28" t="str">
        <f>IFERROR(AVERAGEIF('Registro operativo'!$A:$A,Dati!A4,'Registro operativo'!O:O)," ")</f>
        <v xml:space="preserve"> </v>
      </c>
      <c r="M4" s="28" t="str">
        <f>IFERROR(AVERAGEIF('Registro operativo'!$A:$A,Dati!A4,'Registro operativo'!P:P)," ")</f>
        <v xml:space="preserve"> </v>
      </c>
    </row>
    <row r="5" spans="1:16" ht="18" customHeight="1">
      <c r="A5" s="27" t="s">
        <v>159</v>
      </c>
      <c r="B5" s="28" t="str">
        <f>IF(SUMIF('Registro operativo'!A:A,Dati!A5,'Registro operativo'!H:H)=0,"",SUMIF('Registro operativo'!A:A,Dati!A5,'Registro operativo'!H:H))</f>
        <v/>
      </c>
      <c r="C5" s="61" t="e">
        <f>IF(TRIM(B5)="", NA(), SUM(C4,B5))</f>
        <v>#N/A</v>
      </c>
      <c r="D5" s="61">
        <f>SUMIF('Project Calendar 2026'!C:C,Dati!A5,'Project Calendar 2026'!F:F)</f>
        <v>0</v>
      </c>
      <c r="E5" s="61">
        <f>E4+D5</f>
        <v>0</v>
      </c>
      <c r="F5" s="28">
        <f>SUMIF('Registro operativo'!A:A,Dati!A5,'Registro operativo'!I:I)</f>
        <v>0</v>
      </c>
      <c r="G5" s="28">
        <f>SUMIF('Registro operativo'!A:A,Dati!A5,'Registro operativo'!J:J)</f>
        <v>0</v>
      </c>
      <c r="H5" s="28">
        <f>SUMIF('Registro operativo'!A:A,Dati!A5,'Registro operativo'!K:K)</f>
        <v>0</v>
      </c>
      <c r="I5" s="28">
        <f>SUMIF('Registro operativo'!A:A,Dati!A5,'Registro operativo'!L:L)</f>
        <v>0</v>
      </c>
      <c r="J5" s="28">
        <f>SUMIF('Registro operativo'!A:A,Dati!A5,'Registro operativo'!M:M)</f>
        <v>0</v>
      </c>
      <c r="K5" s="28" t="e">
        <f t="shared" si="0"/>
        <v>#N/A</v>
      </c>
      <c r="L5" s="28" t="str">
        <f>IFERROR(AVERAGEIF('Registro operativo'!$A:$A,Dati!A5,'Registro operativo'!O:O)," ")</f>
        <v xml:space="preserve"> </v>
      </c>
      <c r="M5" s="28" t="str">
        <f>IFERROR(AVERAGEIF('Registro operativo'!$A:$A,Dati!A5,'Registro operativo'!P:P)," ")</f>
        <v xml:space="preserve"> </v>
      </c>
    </row>
    <row r="6" spans="1:16" ht="18" customHeight="1">
      <c r="A6" s="27" t="s">
        <v>160</v>
      </c>
      <c r="B6" s="28" t="str">
        <f>IF(SUMIF('Registro operativo'!A:A,Dati!A6,'Registro operativo'!H:H)=0,"",SUMIF('Registro operativo'!A:A,Dati!A6,'Registro operativo'!H:H))</f>
        <v/>
      </c>
      <c r="C6" s="61" t="e">
        <f t="shared" ref="C6:C30" si="1">IF(TRIM(B6)="", NA(), SUM(C5,B6))</f>
        <v>#N/A</v>
      </c>
      <c r="D6" s="61">
        <f>SUMIF('Project Calendar 2026'!C:C,Dati!A6,'Project Calendar 2026'!F:F)</f>
        <v>0</v>
      </c>
      <c r="E6" s="61">
        <f t="shared" ref="E6:E30" si="2">E5+D6</f>
        <v>0</v>
      </c>
      <c r="F6" s="28">
        <f>SUMIF('Registro operativo'!A:A,Dati!A6,'Registro operativo'!I:I)</f>
        <v>0</v>
      </c>
      <c r="G6" s="28">
        <f>SUMIF('Registro operativo'!A:A,Dati!A6,'Registro operativo'!J:J)</f>
        <v>0</v>
      </c>
      <c r="H6" s="28">
        <f>SUMIF('Registro operativo'!A:A,Dati!A6,'Registro operativo'!K:K)</f>
        <v>0</v>
      </c>
      <c r="I6" s="28">
        <f>SUMIF('Registro operativo'!A:A,Dati!A6,'Registro operativo'!L:L)</f>
        <v>0</v>
      </c>
      <c r="J6" s="28">
        <f>SUMIF('Registro operativo'!A:A,Dati!A6,'Registro operativo'!M:M)</f>
        <v>0</v>
      </c>
      <c r="K6" s="28" t="e">
        <f t="shared" si="0"/>
        <v>#N/A</v>
      </c>
      <c r="L6" s="28" t="str">
        <f>IFERROR(AVERAGEIF('Registro operativo'!$A:$A,Dati!A6,'Registro operativo'!O:O)," ")</f>
        <v xml:space="preserve"> </v>
      </c>
      <c r="M6" s="28" t="str">
        <f>IFERROR(AVERAGEIF('Registro operativo'!$A:$A,Dati!A6,'Registro operativo'!P:P)," ")</f>
        <v xml:space="preserve"> </v>
      </c>
    </row>
    <row r="7" spans="1:16" ht="18" customHeight="1">
      <c r="A7" s="27" t="s">
        <v>161</v>
      </c>
      <c r="B7" s="28" t="str">
        <f>IF(SUMIF('Registro operativo'!A:A,Dati!A7,'Registro operativo'!H:H)=0,"",SUMIF('Registro operativo'!A:A,Dati!A7,'Registro operativo'!H:H))</f>
        <v/>
      </c>
      <c r="C7" s="61" t="e">
        <f t="shared" si="1"/>
        <v>#N/A</v>
      </c>
      <c r="D7" s="61">
        <f>SUMIF('Project Calendar 2026'!C:C,Dati!A7,'Project Calendar 2026'!F:F)</f>
        <v>0</v>
      </c>
      <c r="E7" s="61">
        <f t="shared" si="2"/>
        <v>0</v>
      </c>
      <c r="F7" s="28">
        <f>SUMIF('Registro operativo'!A:A,Dati!A7,'Registro operativo'!I:I)</f>
        <v>0</v>
      </c>
      <c r="G7" s="28">
        <f>SUMIF('Registro operativo'!A:A,Dati!A7,'Registro operativo'!J:J)</f>
        <v>0</v>
      </c>
      <c r="H7" s="28">
        <f>SUMIF('Registro operativo'!A:A,Dati!A7,'Registro operativo'!K:K)</f>
        <v>0</v>
      </c>
      <c r="I7" s="28">
        <f>SUMIF('Registro operativo'!A:A,Dati!A7,'Registro operativo'!L:L)</f>
        <v>0</v>
      </c>
      <c r="J7" s="28">
        <f>SUMIF('Registro operativo'!A:A,Dati!A7,'Registro operativo'!M:M)</f>
        <v>0</v>
      </c>
      <c r="K7" s="28" t="e">
        <f t="shared" si="0"/>
        <v>#N/A</v>
      </c>
      <c r="L7" s="28" t="str">
        <f>IFERROR(AVERAGEIF('Registro operativo'!$A:$A,Dati!A7,'Registro operativo'!O:O)," ")</f>
        <v xml:space="preserve"> </v>
      </c>
      <c r="M7" s="28" t="str">
        <f>IFERROR(AVERAGEIF('Registro operativo'!$A:$A,Dati!A7,'Registro operativo'!P:P)," ")</f>
        <v xml:space="preserve"> </v>
      </c>
      <c r="P7" s="1"/>
    </row>
    <row r="8" spans="1:16" ht="18" customHeight="1">
      <c r="A8" s="27" t="s">
        <v>43</v>
      </c>
      <c r="B8" s="28" t="str">
        <f>IF(SUMIF('Registro operativo'!A:A,Dati!A8,'Registro operativo'!H:H)=0,"",SUMIF('Registro operativo'!A:A,Dati!A8,'Registro operativo'!H:H))</f>
        <v/>
      </c>
      <c r="C8" s="61" t="e">
        <f t="shared" si="1"/>
        <v>#N/A</v>
      </c>
      <c r="D8" s="61">
        <f>SUMIF('Project Calendar 2026'!C:C,Dati!A8,'Project Calendar 2026'!F:F)</f>
        <v>0</v>
      </c>
      <c r="E8" s="61">
        <f t="shared" si="2"/>
        <v>0</v>
      </c>
      <c r="F8" s="28">
        <f>SUMIF('Registro operativo'!A:A,Dati!A8,'Registro operativo'!I:I)</f>
        <v>0</v>
      </c>
      <c r="G8" s="28">
        <f>SUMIF('Registro operativo'!A:A,Dati!A8,'Registro operativo'!J:J)</f>
        <v>0</v>
      </c>
      <c r="H8" s="28">
        <f>SUMIF('Registro operativo'!A:A,Dati!A8,'Registro operativo'!K:K)</f>
        <v>0</v>
      </c>
      <c r="I8" s="28">
        <f>SUMIF('Registro operativo'!A:A,Dati!A8,'Registro operativo'!L:L)</f>
        <v>0</v>
      </c>
      <c r="J8" s="28">
        <f>SUMIF('Registro operativo'!A:A,Dati!A8,'Registro operativo'!M:M)</f>
        <v>0</v>
      </c>
      <c r="K8" s="28" t="e">
        <f t="shared" si="0"/>
        <v>#N/A</v>
      </c>
      <c r="L8" s="28" t="str">
        <f>IFERROR(AVERAGEIF('Registro operativo'!$A:$A,Dati!A8,'Registro operativo'!O:O)," ")</f>
        <v xml:space="preserve"> </v>
      </c>
      <c r="M8" s="28">
        <f>IFERROR(AVERAGEIF('Registro operativo'!$A:$A,Dati!A8,'Registro operativo'!P:P)," ")</f>
        <v>0</v>
      </c>
      <c r="P8" s="1"/>
    </row>
    <row r="9" spans="1:16" ht="18" customHeight="1">
      <c r="A9" s="27" t="s">
        <v>45</v>
      </c>
      <c r="B9" s="28" t="str">
        <f>IF(SUMIF('Registro operativo'!A:A,Dati!A9,'Registro operativo'!H:H)=0,"",SUMIF('Registro operativo'!A:A,Dati!A9,'Registro operativo'!H:H))</f>
        <v/>
      </c>
      <c r="C9" s="61" t="e">
        <f t="shared" si="1"/>
        <v>#N/A</v>
      </c>
      <c r="D9" s="61">
        <f>SUMIF('Project Calendar 2026'!C:C,Dati!A9,'Project Calendar 2026'!F:F)</f>
        <v>0</v>
      </c>
      <c r="E9" s="61">
        <f t="shared" si="2"/>
        <v>0</v>
      </c>
      <c r="F9" s="28">
        <f>SUMIF('Registro operativo'!A:A,Dati!A9,'Registro operativo'!I:I)</f>
        <v>0</v>
      </c>
      <c r="G9" s="28">
        <f>SUMIF('Registro operativo'!A:A,Dati!A9,'Registro operativo'!J:J)</f>
        <v>0</v>
      </c>
      <c r="H9" s="28">
        <f>SUMIF('Registro operativo'!A:A,Dati!A9,'Registro operativo'!K:K)</f>
        <v>0</v>
      </c>
      <c r="I9" s="28">
        <f>SUMIF('Registro operativo'!A:A,Dati!A9,'Registro operativo'!L:L)</f>
        <v>0</v>
      </c>
      <c r="J9" s="28">
        <f>SUMIF('Registro operativo'!A:A,Dati!A9,'Registro operativo'!M:M)</f>
        <v>0</v>
      </c>
      <c r="K9" s="28" t="e">
        <f t="shared" si="0"/>
        <v>#N/A</v>
      </c>
      <c r="L9" s="28" t="str">
        <f>IFERROR(AVERAGEIF('Registro operativo'!$A:$A,Dati!A9,'Registro operativo'!O:O)," ")</f>
        <v xml:space="preserve"> </v>
      </c>
      <c r="M9" s="28">
        <f>IFERROR(AVERAGEIF('Registro operativo'!$A:$A,Dati!A9,'Registro operativo'!P:P)," ")</f>
        <v>0</v>
      </c>
      <c r="P9" s="1"/>
    </row>
    <row r="10" spans="1:16" ht="18" customHeight="1">
      <c r="A10" s="27" t="s">
        <v>46</v>
      </c>
      <c r="B10" s="28" t="str">
        <f>IF(SUMIF('Registro operativo'!A:A,Dati!A10,'Registro operativo'!H:H)=0,"",SUMIF('Registro operativo'!A:A,Dati!A10,'Registro operativo'!H:H))</f>
        <v/>
      </c>
      <c r="C10" s="61" t="e">
        <f t="shared" si="1"/>
        <v>#N/A</v>
      </c>
      <c r="D10" s="61">
        <f>SUMIF('Project Calendar 2026'!C:C,Dati!A10,'Project Calendar 2026'!F:F)</f>
        <v>0</v>
      </c>
      <c r="E10" s="61">
        <f t="shared" si="2"/>
        <v>0</v>
      </c>
      <c r="F10" s="28">
        <f>SUMIF('Registro operativo'!A:A,Dati!A10,'Registro operativo'!I:I)</f>
        <v>0</v>
      </c>
      <c r="G10" s="28">
        <f>SUMIF('Registro operativo'!A:A,Dati!A10,'Registro operativo'!J:J)</f>
        <v>0</v>
      </c>
      <c r="H10" s="28">
        <f>SUMIF('Registro operativo'!A:A,Dati!A10,'Registro operativo'!K:K)</f>
        <v>0</v>
      </c>
      <c r="I10" s="28">
        <f>SUMIF('Registro operativo'!A:A,Dati!A10,'Registro operativo'!L:L)</f>
        <v>0</v>
      </c>
      <c r="J10" s="28">
        <f>SUMIF('Registro operativo'!A:A,Dati!A10,'Registro operativo'!M:M)</f>
        <v>0</v>
      </c>
      <c r="K10" s="28" t="e">
        <f t="shared" si="0"/>
        <v>#N/A</v>
      </c>
      <c r="L10" s="28" t="str">
        <f>IFERROR(AVERAGEIF('Registro operativo'!$A:$A,Dati!A10,'Registro operativo'!O:O)," ")</f>
        <v xml:space="preserve"> </v>
      </c>
      <c r="M10" s="28">
        <f>IFERROR(AVERAGEIF('Registro operativo'!$A:$A,Dati!A10,'Registro operativo'!P:P)," ")</f>
        <v>0</v>
      </c>
      <c r="P10" s="1"/>
    </row>
    <row r="11" spans="1:16" ht="18" customHeight="1">
      <c r="A11" s="27" t="s">
        <v>47</v>
      </c>
      <c r="B11" s="28" t="str">
        <f>IF(SUMIF('Registro operativo'!A:A,Dati!A11,'Registro operativo'!H:H)=0,"",SUMIF('Registro operativo'!A:A,Dati!A11,'Registro operativo'!H:H))</f>
        <v/>
      </c>
      <c r="C11" s="61" t="e">
        <f t="shared" si="1"/>
        <v>#N/A</v>
      </c>
      <c r="D11" s="61">
        <f>SUMIF('Project Calendar 2026'!C:C,Dati!A11,'Project Calendar 2026'!F:F)</f>
        <v>0</v>
      </c>
      <c r="E11" s="61">
        <f t="shared" si="2"/>
        <v>0</v>
      </c>
      <c r="F11" s="28">
        <f>SUMIF('Registro operativo'!A:A,Dati!A11,'Registro operativo'!I:I)</f>
        <v>0</v>
      </c>
      <c r="G11" s="28">
        <f>SUMIF('Registro operativo'!A:A,Dati!A11,'Registro operativo'!J:J)</f>
        <v>0</v>
      </c>
      <c r="H11" s="28">
        <f>SUMIF('Registro operativo'!A:A,Dati!A11,'Registro operativo'!K:K)</f>
        <v>0</v>
      </c>
      <c r="I11" s="28">
        <f>SUMIF('Registro operativo'!A:A,Dati!A11,'Registro operativo'!L:L)</f>
        <v>0</v>
      </c>
      <c r="J11" s="28">
        <f>SUMIF('Registro operativo'!A:A,Dati!A11,'Registro operativo'!M:M)</f>
        <v>0</v>
      </c>
      <c r="K11" s="28" t="e">
        <f t="shared" si="0"/>
        <v>#N/A</v>
      </c>
      <c r="L11" s="28" t="str">
        <f>IFERROR(AVERAGEIF('Registro operativo'!$A:$A,Dati!A11,'Registro operativo'!O:O)," ")</f>
        <v xml:space="preserve"> </v>
      </c>
      <c r="M11" s="28">
        <f>IFERROR(AVERAGEIF('Registro operativo'!$A:$A,Dati!A11,'Registro operativo'!P:P)," ")</f>
        <v>0</v>
      </c>
      <c r="P11" s="1"/>
    </row>
    <row r="12" spans="1:16" ht="18" customHeight="1">
      <c r="A12" s="27" t="s">
        <v>48</v>
      </c>
      <c r="B12" s="28" t="str">
        <f>IF(SUMIF('Registro operativo'!A:A,Dati!A12,'Registro operativo'!H:H)=0,"",SUMIF('Registro operativo'!A:A,Dati!A12,'Registro operativo'!H:H))</f>
        <v/>
      </c>
      <c r="C12" s="61" t="e">
        <f t="shared" si="1"/>
        <v>#N/A</v>
      </c>
      <c r="D12" s="61">
        <f>SUMIF('Project Calendar 2026'!C:C,Dati!A12,'Project Calendar 2026'!F:F)</f>
        <v>0</v>
      </c>
      <c r="E12" s="61">
        <f t="shared" si="2"/>
        <v>0</v>
      </c>
      <c r="F12" s="28">
        <f>SUMIF('Registro operativo'!A:A,Dati!A12,'Registro operativo'!I:I)</f>
        <v>0</v>
      </c>
      <c r="G12" s="28">
        <f>SUMIF('Registro operativo'!A:A,Dati!A12,'Registro operativo'!J:J)</f>
        <v>0</v>
      </c>
      <c r="H12" s="28">
        <f>SUMIF('Registro operativo'!A:A,Dati!A12,'Registro operativo'!K:K)</f>
        <v>0</v>
      </c>
      <c r="I12" s="28">
        <f>SUMIF('Registro operativo'!A:A,Dati!A12,'Registro operativo'!L:L)</f>
        <v>0</v>
      </c>
      <c r="J12" s="28">
        <f>SUMIF('Registro operativo'!A:A,Dati!A12,'Registro operativo'!M:M)</f>
        <v>0</v>
      </c>
      <c r="K12" s="28" t="e">
        <f t="shared" si="0"/>
        <v>#N/A</v>
      </c>
      <c r="L12" s="28" t="str">
        <f>IFERROR(AVERAGEIF('Registro operativo'!$A:$A,Dati!A12,'Registro operativo'!O:O)," ")</f>
        <v xml:space="preserve"> </v>
      </c>
      <c r="M12" s="28">
        <f>IFERROR(AVERAGEIF('Registro operativo'!$A:$A,Dati!A12,'Registro operativo'!P:P)," ")</f>
        <v>0</v>
      </c>
      <c r="P12" s="1"/>
    </row>
    <row r="13" spans="1:16" ht="18" customHeight="1">
      <c r="A13" s="27" t="s">
        <v>49</v>
      </c>
      <c r="B13" s="28" t="str">
        <f>IF(SUMIF('Registro operativo'!A:A,Dati!A13,'Registro operativo'!H:H)=0,"",SUMIF('Registro operativo'!A:A,Dati!A13,'Registro operativo'!H:H))</f>
        <v/>
      </c>
      <c r="C13" s="61" t="e">
        <f t="shared" si="1"/>
        <v>#N/A</v>
      </c>
      <c r="D13" s="61">
        <f>SUMIF('Project Calendar 2026'!C:C,Dati!A13,'Project Calendar 2026'!F:F)</f>
        <v>172.25</v>
      </c>
      <c r="E13" s="61">
        <f t="shared" si="2"/>
        <v>172.25</v>
      </c>
      <c r="F13" s="28">
        <f>SUMIF('Registro operativo'!A:A,Dati!A13,'Registro operativo'!I:I)</f>
        <v>0</v>
      </c>
      <c r="G13" s="28">
        <f>SUMIF('Registro operativo'!A:A,Dati!A13,'Registro operativo'!J:J)</f>
        <v>0</v>
      </c>
      <c r="H13" s="28">
        <f>SUMIF('Registro operativo'!A:A,Dati!A13,'Registro operativo'!K:K)</f>
        <v>0</v>
      </c>
      <c r="I13" s="28">
        <f>SUMIF('Registro operativo'!A:A,Dati!A13,'Registro operativo'!L:L)</f>
        <v>0</v>
      </c>
      <c r="J13" s="28">
        <f>SUMIF('Registro operativo'!A:A,Dati!A13,'Registro operativo'!M:M)</f>
        <v>0</v>
      </c>
      <c r="K13" s="28" t="e">
        <f t="shared" si="0"/>
        <v>#N/A</v>
      </c>
      <c r="L13" s="28" t="str">
        <f>IFERROR(AVERAGEIF('Registro operativo'!$A:$A,Dati!A13,'Registro operativo'!O:O)," ")</f>
        <v xml:space="preserve"> </v>
      </c>
      <c r="M13" s="28">
        <f>IFERROR(AVERAGEIF('Registro operativo'!$A:$A,Dati!A13,'Registro operativo'!P:P)," ")</f>
        <v>0</v>
      </c>
      <c r="P13" s="1"/>
    </row>
    <row r="14" spans="1:16" ht="18" customHeight="1">
      <c r="A14" s="27" t="s">
        <v>50</v>
      </c>
      <c r="B14" s="28" t="str">
        <f>IF(SUMIF('Registro operativo'!A:A,Dati!A14,'Registro operativo'!H:H)=0,"",SUMIF('Registro operativo'!A:A,Dati!A14,'Registro operativo'!H:H))</f>
        <v/>
      </c>
      <c r="C14" s="61" t="e">
        <f t="shared" si="1"/>
        <v>#N/A</v>
      </c>
      <c r="D14" s="61">
        <f>SUMIF('Project Calendar 2026'!C:C,Dati!A14,'Project Calendar 2026'!F:F)</f>
        <v>172.25</v>
      </c>
      <c r="E14" s="61">
        <f t="shared" si="2"/>
        <v>344.5</v>
      </c>
      <c r="F14" s="28">
        <f>SUMIF('Registro operativo'!A:A,Dati!A14,'Registro operativo'!I:I)</f>
        <v>0</v>
      </c>
      <c r="G14" s="28">
        <f>SUMIF('Registro operativo'!A:A,Dati!A14,'Registro operativo'!J:J)</f>
        <v>0</v>
      </c>
      <c r="H14" s="28">
        <f>SUMIF('Registro operativo'!A:A,Dati!A14,'Registro operativo'!K:K)</f>
        <v>0</v>
      </c>
      <c r="I14" s="28">
        <f>SUMIF('Registro operativo'!A:A,Dati!A14,'Registro operativo'!L:L)</f>
        <v>0</v>
      </c>
      <c r="J14" s="28">
        <f>SUMIF('Registro operativo'!A:A,Dati!A14,'Registro operativo'!M:M)</f>
        <v>0</v>
      </c>
      <c r="K14" s="28" t="e">
        <f t="shared" si="0"/>
        <v>#N/A</v>
      </c>
      <c r="L14" s="28" t="str">
        <f>IFERROR(AVERAGEIF('Registro operativo'!$A:$A,Dati!A14,'Registro operativo'!O:O)," ")</f>
        <v xml:space="preserve"> </v>
      </c>
      <c r="M14" s="28">
        <f>IFERROR(AVERAGEIF('Registro operativo'!$A:$A,Dati!A14,'Registro operativo'!P:P)," ")</f>
        <v>0</v>
      </c>
      <c r="P14" s="1"/>
    </row>
    <row r="15" spans="1:16" ht="18" customHeight="1">
      <c r="A15" s="27" t="s">
        <v>51</v>
      </c>
      <c r="B15" s="28" t="str">
        <f>IF(SUMIF('Registro operativo'!A:A,Dati!A15,'Registro operativo'!H:H)=0,"",SUMIF('Registro operativo'!A:A,Dati!A15,'Registro operativo'!H:H))</f>
        <v/>
      </c>
      <c r="C15" s="61" t="e">
        <f t="shared" si="1"/>
        <v>#N/A</v>
      </c>
      <c r="D15" s="61">
        <f>SUMIF('Project Calendar 2026'!C:C,Dati!A15,'Project Calendar 2026'!F:F)</f>
        <v>172.25</v>
      </c>
      <c r="E15" s="61">
        <f t="shared" si="2"/>
        <v>516.75</v>
      </c>
      <c r="F15" s="28">
        <f>SUMIF('Registro operativo'!A:A,Dati!A15,'Registro operativo'!I:I)</f>
        <v>0</v>
      </c>
      <c r="G15" s="28">
        <f>SUMIF('Registro operativo'!A:A,Dati!A15,'Registro operativo'!J:J)</f>
        <v>0</v>
      </c>
      <c r="H15" s="28">
        <f>SUMIF('Registro operativo'!A:A,Dati!A15,'Registro operativo'!K:K)</f>
        <v>0</v>
      </c>
      <c r="I15" s="28">
        <f>SUMIF('Registro operativo'!A:A,Dati!A15,'Registro operativo'!L:L)</f>
        <v>0</v>
      </c>
      <c r="J15" s="28">
        <f>SUMIF('Registro operativo'!A:A,Dati!A15,'Registro operativo'!M:M)</f>
        <v>0</v>
      </c>
      <c r="K15" s="28" t="e">
        <f t="shared" si="0"/>
        <v>#N/A</v>
      </c>
      <c r="L15" s="28" t="str">
        <f>IFERROR(AVERAGEIF('Registro operativo'!$A:$A,Dati!A15,'Registro operativo'!O:O)," ")</f>
        <v xml:space="preserve"> </v>
      </c>
      <c r="M15" s="28">
        <f>IFERROR(AVERAGEIF('Registro operativo'!$A:$A,Dati!A15,'Registro operativo'!P:P)," ")</f>
        <v>0</v>
      </c>
      <c r="P15" s="1"/>
    </row>
    <row r="16" spans="1:16" ht="18" customHeight="1">
      <c r="A16" s="27" t="s">
        <v>52</v>
      </c>
      <c r="B16" s="28" t="str">
        <f>IF(SUMIF('Registro operativo'!A:A,Dati!A16,'Registro operativo'!H:H)=0,"",SUMIF('Registro operativo'!A:A,Dati!A16,'Registro operativo'!H:H))</f>
        <v/>
      </c>
      <c r="C16" s="61" t="e">
        <f t="shared" si="1"/>
        <v>#N/A</v>
      </c>
      <c r="D16" s="61">
        <f>SUMIF('Project Calendar 2026'!C:C,Dati!A16,'Project Calendar 2026'!F:F)</f>
        <v>172.25</v>
      </c>
      <c r="E16" s="61">
        <f t="shared" si="2"/>
        <v>689</v>
      </c>
      <c r="F16" s="28">
        <f>SUMIF('Registro operativo'!A:A,Dati!A16,'Registro operativo'!I:I)</f>
        <v>0</v>
      </c>
      <c r="G16" s="28">
        <f>SUMIF('Registro operativo'!A:A,Dati!A16,'Registro operativo'!J:J)</f>
        <v>0</v>
      </c>
      <c r="H16" s="28">
        <f>SUMIF('Registro operativo'!A:A,Dati!A16,'Registro operativo'!K:K)</f>
        <v>0</v>
      </c>
      <c r="I16" s="28">
        <f>SUMIF('Registro operativo'!A:A,Dati!A16,'Registro operativo'!L:L)</f>
        <v>0</v>
      </c>
      <c r="J16" s="28">
        <f>SUMIF('Registro operativo'!A:A,Dati!A16,'Registro operativo'!M:M)</f>
        <v>0</v>
      </c>
      <c r="K16" s="28" t="e">
        <f t="shared" si="0"/>
        <v>#N/A</v>
      </c>
      <c r="L16" s="28" t="str">
        <f>IFERROR(AVERAGEIF('Registro operativo'!$A:$A,Dati!A16,'Registro operativo'!O:O)," ")</f>
        <v xml:space="preserve"> </v>
      </c>
      <c r="M16" s="28">
        <f>IFERROR(AVERAGEIF('Registro operativo'!$A:$A,Dati!A16,'Registro operativo'!P:P)," ")</f>
        <v>0</v>
      </c>
      <c r="P16" s="1"/>
    </row>
    <row r="17" spans="1:16" ht="17.100000000000001" customHeight="1">
      <c r="A17" s="27" t="s">
        <v>53</v>
      </c>
      <c r="B17" s="28" t="str">
        <f>IF(SUMIF('Registro operativo'!A:A,Dati!A17,'Registro operativo'!H:H)=0,"",SUMIF('Registro operativo'!A:A,Dati!A17,'Registro operativo'!H:H))</f>
        <v/>
      </c>
      <c r="C17" s="61" t="e">
        <f t="shared" si="1"/>
        <v>#N/A</v>
      </c>
      <c r="D17" s="61">
        <f>SUMIF('Project Calendar 2026'!C:C,Dati!A17,'Project Calendar 2026'!F:F)</f>
        <v>172.25</v>
      </c>
      <c r="E17" s="61">
        <f t="shared" si="2"/>
        <v>861.25</v>
      </c>
      <c r="F17" s="28">
        <f>SUMIF('Registro operativo'!A:A,Dati!A17,'Registro operativo'!I:I)</f>
        <v>0</v>
      </c>
      <c r="G17" s="28">
        <f>SUMIF('Registro operativo'!A:A,Dati!A17,'Registro operativo'!J:J)</f>
        <v>0</v>
      </c>
      <c r="H17" s="28">
        <f>SUMIF('Registro operativo'!A:A,Dati!A17,'Registro operativo'!K:K)</f>
        <v>0</v>
      </c>
      <c r="I17" s="28">
        <f>SUMIF('Registro operativo'!A:A,Dati!A17,'Registro operativo'!L:L)</f>
        <v>0</v>
      </c>
      <c r="J17" s="28">
        <f>SUMIF('Registro operativo'!A:A,Dati!A17,'Registro operativo'!M:M)</f>
        <v>0</v>
      </c>
      <c r="K17" s="28" t="e">
        <f t="shared" si="0"/>
        <v>#N/A</v>
      </c>
      <c r="L17" s="28" t="str">
        <f>IFERROR(AVERAGEIF('Registro operativo'!$A:$A,Dati!A17,'Registro operativo'!O:O)," ")</f>
        <v xml:space="preserve"> </v>
      </c>
      <c r="M17" s="28">
        <f>IFERROR(AVERAGEIF('Registro operativo'!$A:$A,Dati!A17,'Registro operativo'!P:P)," ")</f>
        <v>0</v>
      </c>
      <c r="P17" s="1"/>
    </row>
    <row r="18" spans="1:16" ht="18" customHeight="1">
      <c r="A18" s="27" t="s">
        <v>54</v>
      </c>
      <c r="B18" s="28" t="str">
        <f>IF(SUMIF('Registro operativo'!A:A,Dati!A18,'Registro operativo'!H:H)=0,"",SUMIF('Registro operativo'!A:A,Dati!A18,'Registro operativo'!H:H))</f>
        <v/>
      </c>
      <c r="C18" s="61" t="e">
        <f t="shared" si="1"/>
        <v>#N/A</v>
      </c>
      <c r="D18" s="61">
        <f>SUMIF('Project Calendar 2026'!C:C,Dati!A18,'Project Calendar 2026'!F:F)</f>
        <v>172.25</v>
      </c>
      <c r="E18" s="61">
        <f t="shared" si="2"/>
        <v>1033.5</v>
      </c>
      <c r="F18" s="28">
        <f>SUMIF('Registro operativo'!A:A,Dati!A18,'Registro operativo'!I:I)</f>
        <v>0</v>
      </c>
      <c r="G18" s="28">
        <f>SUMIF('Registro operativo'!A:A,Dati!A18,'Registro operativo'!J:J)</f>
        <v>0</v>
      </c>
      <c r="H18" s="28">
        <f>SUMIF('Registro operativo'!A:A,Dati!A18,'Registro operativo'!K:K)</f>
        <v>0</v>
      </c>
      <c r="I18" s="28">
        <f>SUMIF('Registro operativo'!A:A,Dati!A18,'Registro operativo'!L:L)</f>
        <v>0</v>
      </c>
      <c r="J18" s="28">
        <f>SUMIF('Registro operativo'!A:A,Dati!A18,'Registro operativo'!M:M)</f>
        <v>0</v>
      </c>
      <c r="K18" s="28" t="e">
        <f t="shared" si="0"/>
        <v>#N/A</v>
      </c>
      <c r="L18" s="28" t="str">
        <f>IFERROR(AVERAGEIF('Registro operativo'!$A:$A,Dati!A18,'Registro operativo'!O:O)," ")</f>
        <v xml:space="preserve"> </v>
      </c>
      <c r="M18" s="28">
        <f>IFERROR(AVERAGEIF('Registro operativo'!$A:$A,Dati!A18,'Registro operativo'!P:P)," ")</f>
        <v>0</v>
      </c>
      <c r="P18" s="1"/>
    </row>
    <row r="19" spans="1:16" ht="18" customHeight="1">
      <c r="A19" s="27" t="s">
        <v>55</v>
      </c>
      <c r="B19" s="28" t="str">
        <f>IF(SUMIF('Registro operativo'!A:A,Dati!A19,'Registro operativo'!H:H)=0,"",SUMIF('Registro operativo'!A:A,Dati!A19,'Registro operativo'!H:H))</f>
        <v/>
      </c>
      <c r="C19" s="61" t="e">
        <f t="shared" si="1"/>
        <v>#N/A</v>
      </c>
      <c r="D19" s="61">
        <f>SUMIF('Project Calendar 2026'!C:C,Dati!A19,'Project Calendar 2026'!F:F)</f>
        <v>172.25</v>
      </c>
      <c r="E19" s="61">
        <f t="shared" si="2"/>
        <v>1205.75</v>
      </c>
      <c r="F19" s="28">
        <f>SUMIF('Registro operativo'!A:A,Dati!A19,'Registro operativo'!I:I)</f>
        <v>0</v>
      </c>
      <c r="G19" s="28">
        <f>SUMIF('Registro operativo'!A:A,Dati!A19,'Registro operativo'!J:J)</f>
        <v>0</v>
      </c>
      <c r="H19" s="28">
        <f>SUMIF('Registro operativo'!A:A,Dati!A19,'Registro operativo'!K:K)</f>
        <v>0</v>
      </c>
      <c r="I19" s="28">
        <f>SUMIF('Registro operativo'!A:A,Dati!A19,'Registro operativo'!L:L)</f>
        <v>0</v>
      </c>
      <c r="J19" s="28">
        <f>SUMIF('Registro operativo'!A:A,Dati!A19,'Registro operativo'!M:M)</f>
        <v>0</v>
      </c>
      <c r="K19" s="28" t="e">
        <f t="shared" si="0"/>
        <v>#N/A</v>
      </c>
      <c r="L19" s="28" t="str">
        <f>IFERROR(AVERAGEIF('Registro operativo'!$A:$A,Dati!A19,'Registro operativo'!O:O)," ")</f>
        <v xml:space="preserve"> </v>
      </c>
      <c r="M19" s="28">
        <f>IFERROR(AVERAGEIF('Registro operativo'!$A:$A,Dati!A19,'Registro operativo'!P:P)," ")</f>
        <v>0</v>
      </c>
    </row>
    <row r="20" spans="1:16" ht="18" customHeight="1">
      <c r="A20" s="27" t="s">
        <v>56</v>
      </c>
      <c r="B20" s="28" t="str">
        <f>IF(SUMIF('Registro operativo'!A:A,Dati!A20,'Registro operativo'!H:H)=0,"",SUMIF('Registro operativo'!A:A,Dati!A20,'Registro operativo'!H:H))</f>
        <v/>
      </c>
      <c r="C20" s="61" t="e">
        <f t="shared" si="1"/>
        <v>#N/A</v>
      </c>
      <c r="D20" s="61">
        <f>SUMIF('Project Calendar 2026'!C:C,Dati!A20,'Project Calendar 2026'!F:F)</f>
        <v>172.25</v>
      </c>
      <c r="E20" s="61">
        <f t="shared" si="2"/>
        <v>1378</v>
      </c>
      <c r="F20" s="28">
        <f>SUMIF('Registro operativo'!A:A,Dati!A20,'Registro operativo'!I:I)</f>
        <v>0</v>
      </c>
      <c r="G20" s="28">
        <f>SUMIF('Registro operativo'!A:A,Dati!A20,'Registro operativo'!J:J)</f>
        <v>0</v>
      </c>
      <c r="H20" s="28">
        <f>SUMIF('Registro operativo'!A:A,Dati!A20,'Registro operativo'!K:K)</f>
        <v>0</v>
      </c>
      <c r="I20" s="28">
        <f>SUMIF('Registro operativo'!A:A,Dati!A20,'Registro operativo'!L:L)</f>
        <v>0</v>
      </c>
      <c r="J20" s="28">
        <f>SUMIF('Registro operativo'!A:A,Dati!A20,'Registro operativo'!M:M)</f>
        <v>0</v>
      </c>
      <c r="K20" s="28" t="e">
        <f t="shared" si="0"/>
        <v>#N/A</v>
      </c>
      <c r="L20" s="28" t="str">
        <f>IFERROR(AVERAGEIF('Registro operativo'!$A:$A,Dati!A20,'Registro operativo'!O:O)," ")</f>
        <v xml:space="preserve"> </v>
      </c>
      <c r="M20" s="28">
        <f>IFERROR(AVERAGEIF('Registro operativo'!$A:$A,Dati!A20,'Registro operativo'!P:P)," ")</f>
        <v>0</v>
      </c>
    </row>
    <row r="21" spans="1:16" ht="18" customHeight="1">
      <c r="A21" s="27" t="s">
        <v>57</v>
      </c>
      <c r="B21" s="28" t="str">
        <f>IF(SUMIF('Registro operativo'!A:A,Dati!A21,'Registro operativo'!H:H)=0,"",SUMIF('Registro operativo'!A:A,Dati!A21,'Registro operativo'!H:H))</f>
        <v/>
      </c>
      <c r="C21" s="61" t="e">
        <f t="shared" si="1"/>
        <v>#N/A</v>
      </c>
      <c r="D21" s="61">
        <f>SUMIF('Project Calendar 2026'!C:C,Dati!A21,'Project Calendar 2026'!F:F)</f>
        <v>172.25</v>
      </c>
      <c r="E21" s="61">
        <f t="shared" si="2"/>
        <v>1550.25</v>
      </c>
      <c r="F21" s="28">
        <f>SUMIF('Registro operativo'!A:A,Dati!A21,'Registro operativo'!I:I)</f>
        <v>0</v>
      </c>
      <c r="G21" s="28">
        <f>SUMIF('Registro operativo'!A:A,Dati!A21,'Registro operativo'!J:J)</f>
        <v>0</v>
      </c>
      <c r="H21" s="28">
        <f>SUMIF('Registro operativo'!A:A,Dati!A21,'Registro operativo'!K:K)</f>
        <v>0</v>
      </c>
      <c r="I21" s="28">
        <f>SUMIF('Registro operativo'!A:A,Dati!A21,'Registro operativo'!L:L)</f>
        <v>0</v>
      </c>
      <c r="J21" s="28">
        <f>SUMIF('Registro operativo'!A:A,Dati!A21,'Registro operativo'!M:M)</f>
        <v>0</v>
      </c>
      <c r="K21" s="28" t="e">
        <f t="shared" si="0"/>
        <v>#N/A</v>
      </c>
      <c r="L21" s="28" t="str">
        <f>IFERROR(AVERAGEIF('Registro operativo'!$A:$A,Dati!A21,'Registro operativo'!O:O)," ")</f>
        <v xml:space="preserve"> </v>
      </c>
      <c r="M21" s="28">
        <f>IFERROR(AVERAGEIF('Registro operativo'!$A:$A,Dati!A21,'Registro operativo'!P:P)," ")</f>
        <v>0</v>
      </c>
    </row>
    <row r="22" spans="1:16" ht="18" customHeight="1">
      <c r="A22" s="27" t="s">
        <v>58</v>
      </c>
      <c r="B22" s="28" t="str">
        <f>IF(SUMIF('Registro operativo'!A:A,Dati!A22,'Registro operativo'!H:H)=0,"",SUMIF('Registro operativo'!A:A,Dati!A22,'Registro operativo'!H:H))</f>
        <v/>
      </c>
      <c r="C22" s="61" t="e">
        <f t="shared" si="1"/>
        <v>#N/A</v>
      </c>
      <c r="D22" s="61">
        <f>SUMIF('Project Calendar 2026'!C:C,Dati!A22,'Project Calendar 2026'!F:F)</f>
        <v>172.25</v>
      </c>
      <c r="E22" s="61">
        <f t="shared" si="2"/>
        <v>1722.5</v>
      </c>
      <c r="F22" s="28">
        <f>SUMIF('Registro operativo'!A:A,Dati!A22,'Registro operativo'!I:I)</f>
        <v>0</v>
      </c>
      <c r="G22" s="28">
        <f>SUMIF('Registro operativo'!A:A,Dati!A22,'Registro operativo'!J:J)</f>
        <v>0</v>
      </c>
      <c r="H22" s="28">
        <f>SUMIF('Registro operativo'!A:A,Dati!A22,'Registro operativo'!K:K)</f>
        <v>0</v>
      </c>
      <c r="I22" s="28">
        <f>SUMIF('Registro operativo'!A:A,Dati!A22,'Registro operativo'!L:L)</f>
        <v>0</v>
      </c>
      <c r="J22" s="28">
        <f>SUMIF('Registro operativo'!A:A,Dati!A22,'Registro operativo'!M:M)</f>
        <v>0</v>
      </c>
      <c r="K22" s="28" t="e">
        <f t="shared" si="0"/>
        <v>#N/A</v>
      </c>
      <c r="L22" s="28" t="str">
        <f>IFERROR(AVERAGEIF('Registro operativo'!$A:$A,Dati!A22,'Registro operativo'!O:O)," ")</f>
        <v xml:space="preserve"> </v>
      </c>
      <c r="M22" s="28">
        <f>IFERROR(AVERAGEIF('Registro operativo'!$A:$A,Dati!A22,'Registro operativo'!P:P)," ")</f>
        <v>0</v>
      </c>
    </row>
    <row r="23" spans="1:16" ht="18" customHeight="1">
      <c r="A23" s="27" t="s">
        <v>59</v>
      </c>
      <c r="B23" s="28" t="str">
        <f>IF(SUMIF('Registro operativo'!A:A,Dati!A23,'Registro operativo'!H:H)=0,"",SUMIF('Registro operativo'!A:A,Dati!A23,'Registro operativo'!H:H))</f>
        <v/>
      </c>
      <c r="C23" s="61" t="e">
        <f t="shared" si="1"/>
        <v>#N/A</v>
      </c>
      <c r="D23" s="61">
        <f>SUMIF('Project Calendar 2026'!C:C,Dati!A23,'Project Calendar 2026'!F:F)</f>
        <v>172.25</v>
      </c>
      <c r="E23" s="61">
        <f t="shared" si="2"/>
        <v>1894.75</v>
      </c>
      <c r="F23" s="28">
        <f>SUMIF('Registro operativo'!A:A,Dati!A23,'Registro operativo'!I:I)</f>
        <v>0</v>
      </c>
      <c r="G23" s="28">
        <f>SUMIF('Registro operativo'!A:A,Dati!A23,'Registro operativo'!J:J)</f>
        <v>0</v>
      </c>
      <c r="H23" s="28">
        <f>SUMIF('Registro operativo'!A:A,Dati!A23,'Registro operativo'!K:K)</f>
        <v>0</v>
      </c>
      <c r="I23" s="28">
        <f>SUMIF('Registro operativo'!A:A,Dati!A23,'Registro operativo'!L:L)</f>
        <v>0</v>
      </c>
      <c r="J23" s="28">
        <f>SUMIF('Registro operativo'!A:A,Dati!A23,'Registro operativo'!M:M)</f>
        <v>0</v>
      </c>
      <c r="K23" s="28" t="e">
        <f t="shared" si="0"/>
        <v>#N/A</v>
      </c>
      <c r="L23" s="28" t="str">
        <f>IFERROR(AVERAGEIF('Registro operativo'!$A:$A,Dati!A23,'Registro operativo'!O:O)," ")</f>
        <v xml:space="preserve"> </v>
      </c>
      <c r="M23" s="28">
        <f>IFERROR(AVERAGEIF('Registro operativo'!$A:$A,Dati!A23,'Registro operativo'!P:P)," ")</f>
        <v>0</v>
      </c>
    </row>
    <row r="24" spans="1:16" ht="18" customHeight="1">
      <c r="A24" s="27" t="s">
        <v>60</v>
      </c>
      <c r="B24" s="28" t="str">
        <f>IF(SUMIF('Registro operativo'!A:A,Dati!A24,'Registro operativo'!H:H)=0,"",SUMIF('Registro operativo'!A:A,Dati!A24,'Registro operativo'!H:H))</f>
        <v/>
      </c>
      <c r="C24" s="61" t="e">
        <f t="shared" si="1"/>
        <v>#N/A</v>
      </c>
      <c r="D24" s="61">
        <f>SUMIF('Project Calendar 2026'!C:C,Dati!A24,'Project Calendar 2026'!F:F)</f>
        <v>172.25</v>
      </c>
      <c r="E24" s="61">
        <f t="shared" si="2"/>
        <v>2067</v>
      </c>
      <c r="F24" s="28">
        <f>SUMIF('Registro operativo'!A:A,Dati!A24,'Registro operativo'!I:I)</f>
        <v>0</v>
      </c>
      <c r="G24" s="28">
        <f>SUMIF('Registro operativo'!A:A,Dati!A24,'Registro operativo'!J:J)</f>
        <v>0</v>
      </c>
      <c r="H24" s="28">
        <f>SUMIF('Registro operativo'!A:A,Dati!A24,'Registro operativo'!K:K)</f>
        <v>0</v>
      </c>
      <c r="I24" s="28">
        <f>SUMIF('Registro operativo'!A:A,Dati!A24,'Registro operativo'!L:L)</f>
        <v>0</v>
      </c>
      <c r="J24" s="28">
        <f>SUMIF('Registro operativo'!A:A,Dati!A24,'Registro operativo'!M:M)</f>
        <v>0</v>
      </c>
      <c r="K24" s="28" t="e">
        <f t="shared" si="0"/>
        <v>#N/A</v>
      </c>
      <c r="L24" s="28" t="str">
        <f>IFERROR(AVERAGEIF('Registro operativo'!$A:$A,Dati!A24,'Registro operativo'!O:O)," ")</f>
        <v xml:space="preserve"> </v>
      </c>
      <c r="M24" s="28">
        <f>IFERROR(AVERAGEIF('Registro operativo'!$A:$A,Dati!A24,'Registro operativo'!P:P)," ")</f>
        <v>0</v>
      </c>
    </row>
    <row r="25" spans="1:16" ht="18" customHeight="1">
      <c r="A25" s="27" t="s">
        <v>61</v>
      </c>
      <c r="B25" s="28" t="str">
        <f>IF(SUMIF('Registro operativo'!A:A,Dati!A25,'Registro operativo'!H:H)=0,"",SUMIF('Registro operativo'!A:A,Dati!A25,'Registro operativo'!H:H))</f>
        <v/>
      </c>
      <c r="C25" s="61" t="e">
        <f t="shared" si="1"/>
        <v>#N/A</v>
      </c>
      <c r="D25" s="61">
        <f>SUMIF('Project Calendar 2026'!C:C,Dati!A25,'Project Calendar 2026'!F:F)</f>
        <v>172.25</v>
      </c>
      <c r="E25" s="61">
        <f t="shared" si="2"/>
        <v>2239.25</v>
      </c>
      <c r="F25" s="28">
        <f>SUMIF('Registro operativo'!A:A,Dati!A25,'Registro operativo'!I:I)</f>
        <v>0</v>
      </c>
      <c r="G25" s="28">
        <f>SUMIF('Registro operativo'!A:A,Dati!A25,'Registro operativo'!J:J)</f>
        <v>0</v>
      </c>
      <c r="H25" s="28">
        <f>SUMIF('Registro operativo'!A:A,Dati!A25,'Registro operativo'!K:K)</f>
        <v>0</v>
      </c>
      <c r="I25" s="28">
        <f>SUMIF('Registro operativo'!A:A,Dati!A25,'Registro operativo'!L:L)</f>
        <v>0</v>
      </c>
      <c r="J25" s="28">
        <f>SUMIF('Registro operativo'!A:A,Dati!A25,'Registro operativo'!M:M)</f>
        <v>0</v>
      </c>
      <c r="K25" s="28" t="e">
        <f t="shared" si="0"/>
        <v>#N/A</v>
      </c>
      <c r="L25" s="28" t="str">
        <f>IFERROR(AVERAGEIF('Registro operativo'!$A:$A,Dati!A25,'Registro operativo'!O:O)," ")</f>
        <v xml:space="preserve"> </v>
      </c>
      <c r="M25" s="28">
        <f>IFERROR(AVERAGEIF('Registro operativo'!$A:$A,Dati!A25,'Registro operativo'!P:P)," ")</f>
        <v>0</v>
      </c>
    </row>
    <row r="26" spans="1:16" ht="18" customHeight="1">
      <c r="A26" s="27" t="s">
        <v>62</v>
      </c>
      <c r="B26" s="28" t="str">
        <f>IF(SUMIF('Registro operativo'!A:A,Dati!A26,'Registro operativo'!H:H)=0,"",SUMIF('Registro operativo'!A:A,Dati!A26,'Registro operativo'!H:H))</f>
        <v/>
      </c>
      <c r="C26" s="61" t="e">
        <f t="shared" si="1"/>
        <v>#N/A</v>
      </c>
      <c r="D26" s="61">
        <f>SUMIF('Project Calendar 2026'!C:C,Dati!A26,'Project Calendar 2026'!F:F)</f>
        <v>172.25</v>
      </c>
      <c r="E26" s="61">
        <f t="shared" si="2"/>
        <v>2411.5</v>
      </c>
      <c r="F26" s="28">
        <f>SUMIF('Registro operativo'!A:A,Dati!A26,'Registro operativo'!I:I)</f>
        <v>0</v>
      </c>
      <c r="G26" s="28">
        <f>SUMIF('Registro operativo'!A:A,Dati!A26,'Registro operativo'!J:J)</f>
        <v>0</v>
      </c>
      <c r="H26" s="28">
        <f>SUMIF('Registro operativo'!A:A,Dati!A26,'Registro operativo'!K:K)</f>
        <v>0</v>
      </c>
      <c r="I26" s="28">
        <f>SUMIF('Registro operativo'!A:A,Dati!A26,'Registro operativo'!L:L)</f>
        <v>0</v>
      </c>
      <c r="J26" s="28">
        <f>SUMIF('Registro operativo'!A:A,Dati!A26,'Registro operativo'!M:M)</f>
        <v>0</v>
      </c>
      <c r="K26" s="28" t="e">
        <f t="shared" si="0"/>
        <v>#N/A</v>
      </c>
      <c r="L26" s="28" t="str">
        <f>IFERROR(AVERAGEIF('Registro operativo'!$A:$A,Dati!A26,'Registro operativo'!O:O)," ")</f>
        <v xml:space="preserve"> </v>
      </c>
      <c r="M26" s="28">
        <f>IFERROR(AVERAGEIF('Registro operativo'!$A:$A,Dati!A26,'Registro operativo'!P:P)," ")</f>
        <v>0</v>
      </c>
    </row>
    <row r="27" spans="1:16" ht="18" customHeight="1">
      <c r="A27" s="27" t="s">
        <v>63</v>
      </c>
      <c r="B27" s="28" t="str">
        <f>IF(SUMIF('Registro operativo'!A:A,Dati!A27,'Registro operativo'!H:H)=0,"",SUMIF('Registro operativo'!A:A,Dati!A27,'Registro operativo'!H:H))</f>
        <v/>
      </c>
      <c r="C27" s="61" t="e">
        <f t="shared" si="1"/>
        <v>#N/A</v>
      </c>
      <c r="D27" s="61">
        <f>SUMIF('Project Calendar 2026'!C:C,Dati!A27,'Project Calendar 2026'!F:F)</f>
        <v>137.80000000000001</v>
      </c>
      <c r="E27" s="61">
        <f t="shared" si="2"/>
        <v>2549.3000000000002</v>
      </c>
      <c r="F27" s="28">
        <f>SUMIF('Registro operativo'!A:A,Dati!A27,'Registro operativo'!I:I)</f>
        <v>0</v>
      </c>
      <c r="G27" s="28">
        <f>SUMIF('Registro operativo'!A:A,Dati!A27,'Registro operativo'!J:J)</f>
        <v>0</v>
      </c>
      <c r="H27" s="28">
        <f>SUMIF('Registro operativo'!A:A,Dati!A27,'Registro operativo'!K:K)</f>
        <v>0</v>
      </c>
      <c r="I27" s="28">
        <f>SUMIF('Registro operativo'!A:A,Dati!A27,'Registro operativo'!L:L)</f>
        <v>0</v>
      </c>
      <c r="J27" s="28">
        <f>SUMIF('Registro operativo'!A:A,Dati!A27,'Registro operativo'!M:M)</f>
        <v>0</v>
      </c>
      <c r="K27" s="28" t="e">
        <f t="shared" si="0"/>
        <v>#N/A</v>
      </c>
      <c r="L27" s="28" t="str">
        <f>IFERROR(AVERAGEIF('Registro operativo'!$A:$A,Dati!A27,'Registro operativo'!O:O)," ")</f>
        <v xml:space="preserve"> </v>
      </c>
      <c r="M27" s="28">
        <f>IFERROR(AVERAGEIF('Registro operativo'!$A:$A,Dati!A27,'Registro operativo'!P:P)," ")</f>
        <v>0</v>
      </c>
    </row>
    <row r="28" spans="1:16" ht="18" customHeight="1">
      <c r="A28" s="27" t="s">
        <v>64</v>
      </c>
      <c r="B28" s="28" t="str">
        <f>IF(SUMIF('Registro operativo'!A:A,Dati!A28,'Registro operativo'!H:H)=0,"",SUMIF('Registro operativo'!A:A,Dati!A28,'Registro operativo'!H:H))</f>
        <v/>
      </c>
      <c r="C28" s="61" t="e">
        <f t="shared" si="1"/>
        <v>#N/A</v>
      </c>
      <c r="D28" s="61">
        <f>SUMIF('Project Calendar 2026'!C:C,Dati!A28,'Project Calendar 2026'!F:F)</f>
        <v>172.25</v>
      </c>
      <c r="E28" s="61">
        <f t="shared" si="2"/>
        <v>2721.55</v>
      </c>
      <c r="F28" s="28">
        <f>SUMIF('Registro operativo'!A:A,Dati!A28,'Registro operativo'!I:I)</f>
        <v>0</v>
      </c>
      <c r="G28" s="28">
        <f>SUMIF('Registro operativo'!A:A,Dati!A28,'Registro operativo'!J:J)</f>
        <v>0</v>
      </c>
      <c r="H28" s="28">
        <f>SUMIF('Registro operativo'!A:A,Dati!A28,'Registro operativo'!K:K)</f>
        <v>0</v>
      </c>
      <c r="I28" s="28">
        <f>SUMIF('Registro operativo'!A:A,Dati!A28,'Registro operativo'!L:L)</f>
        <v>0</v>
      </c>
      <c r="J28" s="28">
        <f>SUMIF('Registro operativo'!A:A,Dati!A28,'Registro operativo'!M:M)</f>
        <v>0</v>
      </c>
      <c r="K28" s="28" t="e">
        <f t="shared" si="0"/>
        <v>#N/A</v>
      </c>
      <c r="L28" s="28" t="str">
        <f>IFERROR(AVERAGEIF('Registro operativo'!$A:$A,Dati!A28,'Registro operativo'!O:O)," ")</f>
        <v xml:space="preserve"> </v>
      </c>
      <c r="M28" s="28">
        <f>IFERROR(AVERAGEIF('Registro operativo'!$A:$A,Dati!A28,'Registro operativo'!P:P)," ")</f>
        <v>0</v>
      </c>
    </row>
    <row r="29" spans="1:16" ht="18" customHeight="1">
      <c r="A29" s="27" t="s">
        <v>65</v>
      </c>
      <c r="B29" s="28" t="str">
        <f>IF(SUMIF('Registro operativo'!A:A,Dati!A29,'Registro operativo'!H:H)=0,"",SUMIF('Registro operativo'!A:A,Dati!A29,'Registro operativo'!H:H))</f>
        <v/>
      </c>
      <c r="C29" s="61" t="e">
        <f t="shared" si="1"/>
        <v>#N/A</v>
      </c>
      <c r="D29" s="61">
        <f>SUMIF('Project Calendar 2026'!C:C,Dati!A29,'Project Calendar 2026'!F:F)</f>
        <v>137.80000000000001</v>
      </c>
      <c r="E29" s="61">
        <f t="shared" si="2"/>
        <v>2859.3500000000004</v>
      </c>
      <c r="F29" s="28">
        <f>SUMIF('Registro operativo'!A:A,Dati!A29,'Registro operativo'!I:I)</f>
        <v>0</v>
      </c>
      <c r="G29" s="28">
        <f>SUMIF('Registro operativo'!A:A,Dati!A29,'Registro operativo'!J:J)</f>
        <v>0</v>
      </c>
      <c r="H29" s="28">
        <f>SUMIF('Registro operativo'!A:A,Dati!A29,'Registro operativo'!K:K)</f>
        <v>0</v>
      </c>
      <c r="I29" s="28">
        <f>SUMIF('Registro operativo'!A:A,Dati!A29,'Registro operativo'!L:L)</f>
        <v>0</v>
      </c>
      <c r="J29" s="28">
        <f>SUMIF('Registro operativo'!A:A,Dati!A29,'Registro operativo'!M:M)</f>
        <v>0</v>
      </c>
      <c r="K29" s="28" t="e">
        <f t="shared" si="0"/>
        <v>#N/A</v>
      </c>
      <c r="L29" s="28" t="str">
        <f>IFERROR(AVERAGEIF('Registro operativo'!$A:$A,Dati!A29,'Registro operativo'!O:O)," ")</f>
        <v xml:space="preserve"> </v>
      </c>
      <c r="M29" s="28">
        <f>IFERROR(AVERAGEIF('Registro operativo'!$A:$A,Dati!A29,'Registro operativo'!P:P)," ")</f>
        <v>0</v>
      </c>
    </row>
    <row r="30" spans="1:16" ht="18" customHeight="1">
      <c r="A30" s="27" t="s">
        <v>66</v>
      </c>
      <c r="B30" s="28" t="str">
        <f>IF(SUMIF('Registro operativo'!A:A,Dati!A30,'Registro operativo'!H:H)=0,"",SUMIF('Registro operativo'!A:A,Dati!A30,'Registro operativo'!H:H))</f>
        <v/>
      </c>
      <c r="C30" s="61" t="e">
        <f t="shared" si="1"/>
        <v>#N/A</v>
      </c>
      <c r="D30" s="61">
        <f>SUMIF('Project Calendar 2026'!C:C,Dati!A30,'Project Calendar 2026'!F:F)</f>
        <v>137.80000000000001</v>
      </c>
      <c r="E30" s="61">
        <f t="shared" si="2"/>
        <v>2997.1500000000005</v>
      </c>
      <c r="F30" s="28">
        <f>SUMIF('Registro operativo'!A:A,Dati!A30,'Registro operativo'!I:I)</f>
        <v>0</v>
      </c>
      <c r="G30" s="28">
        <f>SUMIF('Registro operativo'!A:A,Dati!A30,'Registro operativo'!J:J)</f>
        <v>0</v>
      </c>
      <c r="H30" s="28">
        <f>SUMIF('Registro operativo'!A:A,Dati!A30,'Registro operativo'!K:K)</f>
        <v>0</v>
      </c>
      <c r="I30" s="28">
        <f>SUMIF('Registro operativo'!A:A,Dati!A30,'Registro operativo'!L:L)</f>
        <v>0</v>
      </c>
      <c r="J30" s="28">
        <f>SUMIF('Registro operativo'!A:A,Dati!A30,'Registro operativo'!M:M)</f>
        <v>0</v>
      </c>
      <c r="K30" s="28" t="e">
        <f t="shared" si="0"/>
        <v>#N/A</v>
      </c>
      <c r="L30" s="28" t="str">
        <f>IFERROR(AVERAGEIF('Registro operativo'!$A:$A,Dati!A30,'Registro operativo'!O:O)," ")</f>
        <v xml:space="preserve"> </v>
      </c>
      <c r="M30" s="28">
        <f>IFERROR(AVERAGEIF('Registro operativo'!$A:$A,Dati!A30,'Registro operativo'!P:P)," ")</f>
        <v>0</v>
      </c>
    </row>
    <row r="31" spans="1:16" ht="18" customHeight="1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</row>
  </sheetData>
  <phoneticPr fontId="5" type="noConversion"/>
  <pageMargins left="0.7" right="0.7" top="0.75" bottom="0.75" header="0.3" footer="0.3"/>
  <ignoredErrors>
    <ignoredError sqref="D2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5B06-D0B5-B24A-BD8A-2E3EE69C0B20}">
  <sheetPr codeName="Foglio4" filterMode="1"/>
  <dimension ref="A2:J202"/>
  <sheetViews>
    <sheetView zoomScale="125" workbookViewId="0">
      <pane ySplit="2" topLeftCell="A3" activePane="bottomLeft" state="frozen"/>
      <selection pane="bottomLeft" activeCell="J12" sqref="J12"/>
    </sheetView>
  </sheetViews>
  <sheetFormatPr defaultColWidth="8.875" defaultRowHeight="15"/>
  <cols>
    <col min="1" max="1" width="35" style="50" customWidth="1"/>
    <col min="2" max="2" width="13" style="50" customWidth="1"/>
    <col min="3" max="3" width="12" style="50" customWidth="1"/>
    <col min="4" max="4" width="20" style="50" customWidth="1"/>
    <col min="5" max="6" width="24.875" style="50" customWidth="1"/>
    <col min="7" max="7" width="8.875" style="50"/>
    <col min="8" max="9" width="31.375" style="137" customWidth="1"/>
    <col min="10" max="10" width="10.125" style="50" bestFit="1" customWidth="1"/>
    <col min="11" max="16384" width="8.875" style="50"/>
  </cols>
  <sheetData>
    <row r="2" spans="1:10" ht="24" customHeight="1">
      <c r="A2" s="30" t="s">
        <v>162</v>
      </c>
      <c r="B2" s="30" t="s">
        <v>163</v>
      </c>
      <c r="C2" s="30" t="s">
        <v>164</v>
      </c>
      <c r="D2" s="30" t="s">
        <v>165</v>
      </c>
      <c r="E2" s="30" t="s">
        <v>166</v>
      </c>
      <c r="F2" s="30" t="s">
        <v>167</v>
      </c>
      <c r="H2" s="49" t="s">
        <v>168</v>
      </c>
      <c r="I2" s="49" t="s">
        <v>169</v>
      </c>
      <c r="J2" s="48" t="s">
        <v>170</v>
      </c>
    </row>
    <row r="3" spans="1:10" ht="20.100000000000001" customHeight="1">
      <c r="A3" s="53">
        <v>46188</v>
      </c>
      <c r="B3" s="51" t="s">
        <v>171</v>
      </c>
      <c r="C3" s="51" t="s">
        <v>156</v>
      </c>
      <c r="D3" s="51" t="s">
        <v>172</v>
      </c>
      <c r="E3" s="52"/>
      <c r="F3" s="64"/>
      <c r="H3" s="52" t="s">
        <v>173</v>
      </c>
      <c r="I3" s="52" t="s">
        <v>14</v>
      </c>
      <c r="J3" s="51"/>
    </row>
    <row r="4" spans="1:10" ht="20.100000000000001" customHeight="1">
      <c r="A4" s="53">
        <v>46189</v>
      </c>
      <c r="B4" s="51" t="s">
        <v>174</v>
      </c>
      <c r="C4" s="51" t="s">
        <v>156</v>
      </c>
      <c r="D4" s="51" t="s">
        <v>172</v>
      </c>
      <c r="E4" s="52"/>
      <c r="F4" s="64"/>
      <c r="H4" s="52" t="s">
        <v>175</v>
      </c>
      <c r="I4" s="52" t="s">
        <v>15</v>
      </c>
      <c r="J4" s="51" t="s">
        <v>176</v>
      </c>
    </row>
    <row r="5" spans="1:10" ht="20.100000000000001" customHeight="1">
      <c r="A5" s="53">
        <v>46190</v>
      </c>
      <c r="B5" s="51" t="s">
        <v>177</v>
      </c>
      <c r="C5" s="51" t="s">
        <v>156</v>
      </c>
      <c r="D5" s="51" t="s">
        <v>172</v>
      </c>
      <c r="E5" s="52"/>
      <c r="F5" s="64"/>
      <c r="H5" s="52" t="s">
        <v>178</v>
      </c>
      <c r="I5" s="52" t="s">
        <v>16</v>
      </c>
      <c r="J5" s="51" t="s">
        <v>179</v>
      </c>
    </row>
    <row r="6" spans="1:10" ht="20.100000000000001" customHeight="1">
      <c r="A6" s="53">
        <v>46191</v>
      </c>
      <c r="B6" s="51" t="s">
        <v>180</v>
      </c>
      <c r="C6" s="51" t="s">
        <v>156</v>
      </c>
      <c r="D6" s="51" t="s">
        <v>172</v>
      </c>
      <c r="E6" s="52"/>
      <c r="F6" s="64"/>
      <c r="H6" s="52" t="s">
        <v>181</v>
      </c>
      <c r="I6" s="52" t="s">
        <v>17</v>
      </c>
      <c r="J6" s="51" t="s">
        <v>182</v>
      </c>
    </row>
    <row r="7" spans="1:10" ht="20.100000000000001" customHeight="1">
      <c r="A7" s="53">
        <v>46192</v>
      </c>
      <c r="B7" s="51" t="s">
        <v>183</v>
      </c>
      <c r="C7" s="51" t="s">
        <v>156</v>
      </c>
      <c r="D7" s="51" t="s">
        <v>172</v>
      </c>
      <c r="E7" s="52"/>
      <c r="F7" s="64"/>
      <c r="H7" s="52" t="s">
        <v>184</v>
      </c>
      <c r="I7" s="52" t="s">
        <v>18</v>
      </c>
      <c r="J7" s="51" t="s">
        <v>185</v>
      </c>
    </row>
    <row r="8" spans="1:10" ht="20.100000000000001" hidden="1" customHeight="1">
      <c r="A8" s="56">
        <v>46193</v>
      </c>
      <c r="B8" s="55" t="s">
        <v>186</v>
      </c>
      <c r="C8" s="55" t="s">
        <v>156</v>
      </c>
      <c r="D8" s="55" t="s">
        <v>187</v>
      </c>
      <c r="E8" s="54"/>
      <c r="F8" s="60"/>
      <c r="H8" s="52" t="s">
        <v>188</v>
      </c>
      <c r="I8" s="52" t="s">
        <v>19</v>
      </c>
    </row>
    <row r="9" spans="1:10" ht="20.100000000000001" hidden="1" customHeight="1">
      <c r="A9" s="56">
        <v>46194</v>
      </c>
      <c r="B9" s="55" t="s">
        <v>189</v>
      </c>
      <c r="C9" s="55" t="s">
        <v>156</v>
      </c>
      <c r="D9" s="55" t="s">
        <v>187</v>
      </c>
      <c r="E9" s="54"/>
      <c r="F9" s="54"/>
      <c r="H9" s="52" t="s">
        <v>190</v>
      </c>
      <c r="I9" s="52" t="s">
        <v>20</v>
      </c>
    </row>
    <row r="10" spans="1:10" ht="20.100000000000001" customHeight="1">
      <c r="A10" s="53">
        <v>46195</v>
      </c>
      <c r="B10" s="51" t="s">
        <v>171</v>
      </c>
      <c r="C10" s="51" t="s">
        <v>157</v>
      </c>
      <c r="D10" s="51" t="s">
        <v>172</v>
      </c>
      <c r="E10" s="52"/>
      <c r="F10" s="64"/>
      <c r="H10" s="52" t="s">
        <v>191</v>
      </c>
      <c r="I10" s="52" t="s">
        <v>21</v>
      </c>
    </row>
    <row r="11" spans="1:10" ht="20.100000000000001" customHeight="1">
      <c r="A11" s="53">
        <v>46196</v>
      </c>
      <c r="B11" s="51" t="s">
        <v>174</v>
      </c>
      <c r="C11" s="51" t="s">
        <v>157</v>
      </c>
      <c r="D11" s="51" t="s">
        <v>172</v>
      </c>
      <c r="E11" s="52"/>
      <c r="F11" s="64"/>
      <c r="H11" s="52" t="s">
        <v>192</v>
      </c>
      <c r="I11" s="136"/>
    </row>
    <row r="12" spans="1:10" ht="20.100000000000001" customHeight="1">
      <c r="A12" s="53">
        <v>46197</v>
      </c>
      <c r="B12" s="51" t="s">
        <v>177</v>
      </c>
      <c r="C12" s="51" t="s">
        <v>157</v>
      </c>
      <c r="D12" s="51" t="s">
        <v>172</v>
      </c>
      <c r="E12" s="52"/>
      <c r="F12" s="64"/>
      <c r="H12" s="52" t="s">
        <v>193</v>
      </c>
      <c r="I12" s="136"/>
    </row>
    <row r="13" spans="1:10" ht="20.100000000000001" customHeight="1">
      <c r="A13" s="53">
        <v>46198</v>
      </c>
      <c r="B13" s="51" t="s">
        <v>180</v>
      </c>
      <c r="C13" s="51" t="s">
        <v>157</v>
      </c>
      <c r="D13" s="51" t="s">
        <v>172</v>
      </c>
      <c r="E13" s="52"/>
      <c r="F13" s="64"/>
      <c r="H13" s="52" t="s">
        <v>194</v>
      </c>
      <c r="I13" s="136"/>
    </row>
    <row r="14" spans="1:10" ht="20.100000000000001" customHeight="1">
      <c r="A14" s="53">
        <v>46199</v>
      </c>
      <c r="B14" s="51" t="s">
        <v>183</v>
      </c>
      <c r="C14" s="51" t="s">
        <v>157</v>
      </c>
      <c r="D14" s="51" t="s">
        <v>172</v>
      </c>
      <c r="E14" s="52"/>
      <c r="F14" s="64"/>
      <c r="H14" s="52" t="s">
        <v>195</v>
      </c>
      <c r="I14" s="136"/>
    </row>
    <row r="15" spans="1:10" ht="20.100000000000001" hidden="1" customHeight="1">
      <c r="A15" s="56">
        <v>46200</v>
      </c>
      <c r="B15" s="55" t="s">
        <v>186</v>
      </c>
      <c r="C15" s="55" t="s">
        <v>157</v>
      </c>
      <c r="D15" s="55" t="s">
        <v>187</v>
      </c>
      <c r="E15" s="54"/>
      <c r="F15" s="60"/>
      <c r="H15" s="52" t="s">
        <v>196</v>
      </c>
      <c r="I15" s="136"/>
    </row>
    <row r="16" spans="1:10" ht="20.100000000000001" hidden="1" customHeight="1">
      <c r="A16" s="56">
        <v>46201</v>
      </c>
      <c r="B16" s="55" t="s">
        <v>189</v>
      </c>
      <c r="C16" s="55" t="s">
        <v>157</v>
      </c>
      <c r="D16" s="55" t="s">
        <v>187</v>
      </c>
      <c r="E16" s="54"/>
      <c r="F16" s="54"/>
      <c r="H16" s="52" t="s">
        <v>197</v>
      </c>
      <c r="I16" s="136"/>
    </row>
    <row r="17" spans="1:9" ht="20.100000000000001" customHeight="1">
      <c r="A17" s="53">
        <v>46202</v>
      </c>
      <c r="B17" s="51" t="s">
        <v>171</v>
      </c>
      <c r="C17" s="51" t="s">
        <v>158</v>
      </c>
      <c r="D17" s="51" t="s">
        <v>172</v>
      </c>
      <c r="E17" s="52"/>
      <c r="F17" s="64"/>
      <c r="H17" s="52" t="s">
        <v>198</v>
      </c>
      <c r="I17" s="136"/>
    </row>
    <row r="18" spans="1:9" ht="20.100000000000001" customHeight="1">
      <c r="A18" s="53">
        <v>46203</v>
      </c>
      <c r="B18" s="51" t="s">
        <v>174</v>
      </c>
      <c r="C18" s="51" t="s">
        <v>158</v>
      </c>
      <c r="D18" s="51" t="s">
        <v>172</v>
      </c>
      <c r="E18" s="52"/>
      <c r="F18" s="64"/>
      <c r="H18" s="52" t="s">
        <v>199</v>
      </c>
      <c r="I18" s="136"/>
    </row>
    <row r="19" spans="1:9" ht="20.100000000000001" customHeight="1">
      <c r="A19" s="53">
        <v>46204</v>
      </c>
      <c r="B19" s="51" t="s">
        <v>177</v>
      </c>
      <c r="C19" s="51" t="s">
        <v>158</v>
      </c>
      <c r="D19" s="51" t="s">
        <v>172</v>
      </c>
      <c r="E19" s="52"/>
      <c r="F19" s="64"/>
      <c r="H19" s="52"/>
      <c r="I19" s="136"/>
    </row>
    <row r="20" spans="1:9" ht="20.100000000000001" customHeight="1">
      <c r="A20" s="53">
        <v>46205</v>
      </c>
      <c r="B20" s="51" t="s">
        <v>180</v>
      </c>
      <c r="C20" s="51" t="s">
        <v>158</v>
      </c>
      <c r="D20" s="51" t="s">
        <v>172</v>
      </c>
      <c r="E20" s="52"/>
      <c r="F20" s="64"/>
      <c r="H20" s="52"/>
      <c r="I20" s="136"/>
    </row>
    <row r="21" spans="1:9" ht="20.100000000000001" customHeight="1">
      <c r="A21" s="53">
        <v>46206</v>
      </c>
      <c r="B21" s="51" t="s">
        <v>183</v>
      </c>
      <c r="C21" s="51" t="s">
        <v>158</v>
      </c>
      <c r="D21" s="51" t="s">
        <v>172</v>
      </c>
      <c r="E21" s="52"/>
      <c r="F21" s="64"/>
      <c r="H21" s="52"/>
      <c r="I21" s="136"/>
    </row>
    <row r="22" spans="1:9" ht="20.100000000000001" hidden="1" customHeight="1">
      <c r="A22" s="56">
        <v>46207</v>
      </c>
      <c r="B22" s="55" t="s">
        <v>186</v>
      </c>
      <c r="C22" s="55" t="s">
        <v>158</v>
      </c>
      <c r="D22" s="55" t="s">
        <v>187</v>
      </c>
      <c r="E22" s="54"/>
      <c r="F22" s="60"/>
      <c r="H22" s="52" t="s">
        <v>200</v>
      </c>
      <c r="I22" s="136"/>
    </row>
    <row r="23" spans="1:9" ht="20.100000000000001" hidden="1" customHeight="1">
      <c r="A23" s="56">
        <v>46208</v>
      </c>
      <c r="B23" s="55" t="s">
        <v>189</v>
      </c>
      <c r="C23" s="55" t="s">
        <v>158</v>
      </c>
      <c r="D23" s="55" t="s">
        <v>187</v>
      </c>
      <c r="E23" s="54"/>
      <c r="F23" s="54"/>
      <c r="H23" s="52" t="s">
        <v>201</v>
      </c>
      <c r="I23" s="136"/>
    </row>
    <row r="24" spans="1:9" ht="20.100000000000001" customHeight="1">
      <c r="A24" s="53">
        <v>46209</v>
      </c>
      <c r="B24" s="51" t="s">
        <v>171</v>
      </c>
      <c r="C24" s="51" t="s">
        <v>159</v>
      </c>
      <c r="D24" s="51" t="s">
        <v>172</v>
      </c>
      <c r="E24" s="52"/>
      <c r="F24" s="64"/>
      <c r="H24" s="52"/>
      <c r="I24" s="136"/>
    </row>
    <row r="25" spans="1:9" ht="20.100000000000001" customHeight="1">
      <c r="A25" s="53">
        <v>46210</v>
      </c>
      <c r="B25" s="51" t="s">
        <v>174</v>
      </c>
      <c r="C25" s="51" t="s">
        <v>159</v>
      </c>
      <c r="D25" s="51" t="s">
        <v>172</v>
      </c>
      <c r="E25" s="52"/>
      <c r="F25" s="64"/>
      <c r="H25" s="52"/>
      <c r="I25" s="136"/>
    </row>
    <row r="26" spans="1:9" ht="20.100000000000001" customHeight="1">
      <c r="A26" s="53">
        <v>46211</v>
      </c>
      <c r="B26" s="51" t="s">
        <v>177</v>
      </c>
      <c r="C26" s="51" t="s">
        <v>159</v>
      </c>
      <c r="D26" s="51" t="s">
        <v>172</v>
      </c>
      <c r="E26" s="52"/>
      <c r="F26" s="64"/>
      <c r="H26" s="52"/>
      <c r="I26" s="136"/>
    </row>
    <row r="27" spans="1:9" ht="20.100000000000001" customHeight="1">
      <c r="A27" s="53">
        <v>46212</v>
      </c>
      <c r="B27" s="51" t="s">
        <v>180</v>
      </c>
      <c r="C27" s="51" t="s">
        <v>159</v>
      </c>
      <c r="D27" s="51" t="s">
        <v>172</v>
      </c>
      <c r="E27" s="52"/>
      <c r="F27" s="64"/>
      <c r="H27" s="52"/>
      <c r="I27" s="136"/>
    </row>
    <row r="28" spans="1:9" ht="20.100000000000001" customHeight="1">
      <c r="A28" s="53">
        <v>46213</v>
      </c>
      <c r="B28" s="51" t="s">
        <v>183</v>
      </c>
      <c r="C28" s="51" t="s">
        <v>159</v>
      </c>
      <c r="D28" s="51" t="s">
        <v>172</v>
      </c>
      <c r="E28" s="52"/>
      <c r="F28" s="64"/>
      <c r="H28" s="52"/>
      <c r="I28" s="136"/>
    </row>
    <row r="29" spans="1:9" ht="20.100000000000001" hidden="1" customHeight="1">
      <c r="A29" s="56">
        <v>46214</v>
      </c>
      <c r="B29" s="55" t="s">
        <v>186</v>
      </c>
      <c r="C29" s="55" t="s">
        <v>159</v>
      </c>
      <c r="D29" s="55" t="s">
        <v>187</v>
      </c>
      <c r="E29" s="54"/>
      <c r="F29" s="60"/>
      <c r="H29" s="52" t="s">
        <v>202</v>
      </c>
      <c r="I29" s="136"/>
    </row>
    <row r="30" spans="1:9" ht="20.100000000000001" hidden="1" customHeight="1">
      <c r="A30" s="56">
        <v>46215</v>
      </c>
      <c r="B30" s="55" t="s">
        <v>189</v>
      </c>
      <c r="C30" s="55" t="s">
        <v>159</v>
      </c>
      <c r="D30" s="55" t="s">
        <v>187</v>
      </c>
      <c r="E30" s="54"/>
      <c r="F30" s="54"/>
      <c r="H30" s="52" t="s">
        <v>203</v>
      </c>
      <c r="I30" s="136"/>
    </row>
    <row r="31" spans="1:9" ht="20.100000000000001" customHeight="1">
      <c r="A31" s="53">
        <v>46216</v>
      </c>
      <c r="B31" s="51" t="s">
        <v>171</v>
      </c>
      <c r="C31" s="51" t="s">
        <v>160</v>
      </c>
      <c r="D31" s="51" t="s">
        <v>172</v>
      </c>
      <c r="E31" s="52"/>
      <c r="F31" s="64"/>
      <c r="H31" s="52"/>
      <c r="I31" s="136"/>
    </row>
    <row r="32" spans="1:9" ht="20.100000000000001" customHeight="1">
      <c r="A32" s="53">
        <v>46217</v>
      </c>
      <c r="B32" s="51" t="s">
        <v>174</v>
      </c>
      <c r="C32" s="51" t="s">
        <v>160</v>
      </c>
      <c r="D32" s="51" t="s">
        <v>172</v>
      </c>
      <c r="E32" s="52"/>
      <c r="F32" s="64"/>
      <c r="H32" s="52"/>
      <c r="I32" s="136"/>
    </row>
    <row r="33" spans="1:9" ht="20.100000000000001" customHeight="1">
      <c r="A33" s="53">
        <v>46218</v>
      </c>
      <c r="B33" s="51" t="s">
        <v>177</v>
      </c>
      <c r="C33" s="51" t="s">
        <v>160</v>
      </c>
      <c r="D33" s="51" t="s">
        <v>172</v>
      </c>
      <c r="E33" s="52"/>
      <c r="F33" s="64"/>
      <c r="H33" s="52"/>
      <c r="I33" s="136"/>
    </row>
    <row r="34" spans="1:9" ht="20.100000000000001" customHeight="1">
      <c r="A34" s="53">
        <v>46219</v>
      </c>
      <c r="B34" s="51" t="s">
        <v>180</v>
      </c>
      <c r="C34" s="51" t="s">
        <v>160</v>
      </c>
      <c r="D34" s="51" t="s">
        <v>172</v>
      </c>
      <c r="E34" s="52"/>
      <c r="F34" s="64"/>
      <c r="H34" s="52"/>
      <c r="I34" s="136"/>
    </row>
    <row r="35" spans="1:9" ht="20.100000000000001" customHeight="1">
      <c r="A35" s="53">
        <v>46220</v>
      </c>
      <c r="B35" s="51" t="s">
        <v>183</v>
      </c>
      <c r="C35" s="51" t="s">
        <v>160</v>
      </c>
      <c r="D35" s="51" t="s">
        <v>172</v>
      </c>
      <c r="E35" s="52"/>
      <c r="F35" s="64"/>
      <c r="H35" s="52"/>
      <c r="I35" s="136"/>
    </row>
    <row r="36" spans="1:9" ht="20.100000000000001" hidden="1" customHeight="1">
      <c r="A36" s="56">
        <v>46221</v>
      </c>
      <c r="B36" s="55" t="s">
        <v>186</v>
      </c>
      <c r="C36" s="55" t="s">
        <v>160</v>
      </c>
      <c r="D36" s="55" t="s">
        <v>187</v>
      </c>
      <c r="E36" s="54"/>
      <c r="F36" s="60"/>
      <c r="H36" s="52" t="s">
        <v>204</v>
      </c>
      <c r="I36" s="136"/>
    </row>
    <row r="37" spans="1:9" ht="20.100000000000001" hidden="1" customHeight="1">
      <c r="A37" s="56">
        <v>46222</v>
      </c>
      <c r="B37" s="55" t="s">
        <v>189</v>
      </c>
      <c r="C37" s="55" t="s">
        <v>160</v>
      </c>
      <c r="D37" s="55" t="s">
        <v>187</v>
      </c>
      <c r="E37" s="54"/>
      <c r="F37" s="54"/>
      <c r="H37" s="52" t="s">
        <v>205</v>
      </c>
      <c r="I37" s="136"/>
    </row>
    <row r="38" spans="1:9" ht="20.100000000000001" customHeight="1">
      <c r="A38" s="53">
        <v>46223</v>
      </c>
      <c r="B38" s="51" t="s">
        <v>171</v>
      </c>
      <c r="C38" s="51" t="s">
        <v>161</v>
      </c>
      <c r="D38" s="51" t="s">
        <v>172</v>
      </c>
      <c r="E38" s="52"/>
      <c r="F38" s="64"/>
      <c r="H38" s="52"/>
      <c r="I38" s="136"/>
    </row>
    <row r="39" spans="1:9" ht="20.100000000000001" customHeight="1">
      <c r="A39" s="53">
        <v>46224</v>
      </c>
      <c r="B39" s="51" t="s">
        <v>174</v>
      </c>
      <c r="C39" s="51" t="s">
        <v>161</v>
      </c>
      <c r="D39" s="51" t="s">
        <v>172</v>
      </c>
      <c r="E39" s="52"/>
      <c r="F39" s="64"/>
      <c r="H39" s="52"/>
      <c r="I39" s="136"/>
    </row>
    <row r="40" spans="1:9" ht="20.100000000000001" customHeight="1">
      <c r="A40" s="53">
        <v>46225</v>
      </c>
      <c r="B40" s="51" t="s">
        <v>177</v>
      </c>
      <c r="C40" s="51" t="s">
        <v>161</v>
      </c>
      <c r="D40" s="51" t="s">
        <v>172</v>
      </c>
      <c r="E40" s="52"/>
      <c r="F40" s="64"/>
      <c r="H40" s="52"/>
      <c r="I40" s="136"/>
    </row>
    <row r="41" spans="1:9" ht="20.100000000000001" customHeight="1">
      <c r="A41" s="53">
        <v>46226</v>
      </c>
      <c r="B41" s="51" t="s">
        <v>180</v>
      </c>
      <c r="C41" s="51" t="s">
        <v>161</v>
      </c>
      <c r="D41" s="51" t="s">
        <v>172</v>
      </c>
      <c r="E41" s="52"/>
      <c r="F41" s="64"/>
      <c r="H41" s="52"/>
      <c r="I41" s="136"/>
    </row>
    <row r="42" spans="1:9" ht="20.100000000000001" customHeight="1">
      <c r="A42" s="53">
        <v>46227</v>
      </c>
      <c r="B42" s="51" t="s">
        <v>183</v>
      </c>
      <c r="C42" s="51" t="s">
        <v>161</v>
      </c>
      <c r="D42" s="51" t="s">
        <v>172</v>
      </c>
      <c r="E42" s="52"/>
      <c r="F42" s="64"/>
      <c r="H42" s="52"/>
      <c r="I42" s="136"/>
    </row>
    <row r="43" spans="1:9" ht="20.100000000000001" hidden="1" customHeight="1">
      <c r="A43" s="56">
        <v>46228</v>
      </c>
      <c r="B43" s="55" t="s">
        <v>186</v>
      </c>
      <c r="C43" s="55" t="s">
        <v>161</v>
      </c>
      <c r="D43" s="55" t="s">
        <v>187</v>
      </c>
      <c r="E43" s="54"/>
      <c r="F43" s="60"/>
      <c r="H43" s="52" t="s">
        <v>206</v>
      </c>
      <c r="I43" s="136"/>
    </row>
    <row r="44" spans="1:9" ht="20.100000000000001" hidden="1" customHeight="1">
      <c r="A44" s="56">
        <v>46229</v>
      </c>
      <c r="B44" s="55" t="s">
        <v>189</v>
      </c>
      <c r="C44" s="55" t="s">
        <v>161</v>
      </c>
      <c r="D44" s="55" t="s">
        <v>187</v>
      </c>
      <c r="E44" s="54"/>
      <c r="F44" s="54"/>
      <c r="H44" s="52" t="s">
        <v>207</v>
      </c>
      <c r="I44" s="136"/>
    </row>
    <row r="45" spans="1:9" ht="20.100000000000001" customHeight="1">
      <c r="A45" s="53">
        <v>46230</v>
      </c>
      <c r="B45" s="51" t="s">
        <v>171</v>
      </c>
      <c r="C45" s="51" t="s">
        <v>43</v>
      </c>
      <c r="D45" s="51" t="s">
        <v>172</v>
      </c>
      <c r="E45" s="52"/>
      <c r="F45" s="64"/>
      <c r="H45" s="52"/>
      <c r="I45" s="136"/>
    </row>
    <row r="46" spans="1:9" ht="20.100000000000001" customHeight="1">
      <c r="A46" s="53">
        <v>46231</v>
      </c>
      <c r="B46" s="51" t="s">
        <v>174</v>
      </c>
      <c r="C46" s="51" t="s">
        <v>43</v>
      </c>
      <c r="D46" s="51" t="s">
        <v>172</v>
      </c>
      <c r="E46" s="52"/>
      <c r="F46" s="64"/>
      <c r="H46" s="52"/>
      <c r="I46" s="136"/>
    </row>
    <row r="47" spans="1:9" ht="20.100000000000001" customHeight="1">
      <c r="A47" s="53">
        <v>46232</v>
      </c>
      <c r="B47" s="51" t="s">
        <v>177</v>
      </c>
      <c r="C47" s="51" t="s">
        <v>43</v>
      </c>
      <c r="D47" s="51" t="s">
        <v>172</v>
      </c>
      <c r="E47" s="52"/>
      <c r="F47" s="64"/>
      <c r="H47" s="52"/>
      <c r="I47" s="136"/>
    </row>
    <row r="48" spans="1:9" ht="20.100000000000001" customHeight="1">
      <c r="A48" s="53">
        <v>46233</v>
      </c>
      <c r="B48" s="51" t="s">
        <v>180</v>
      </c>
      <c r="C48" s="51" t="s">
        <v>43</v>
      </c>
      <c r="D48" s="51" t="s">
        <v>172</v>
      </c>
      <c r="E48" s="52"/>
      <c r="F48" s="64"/>
      <c r="H48" s="52"/>
      <c r="I48" s="136"/>
    </row>
    <row r="49" spans="1:9" ht="20.100000000000001" customHeight="1">
      <c r="A49" s="53">
        <v>46234</v>
      </c>
      <c r="B49" s="51" t="s">
        <v>183</v>
      </c>
      <c r="C49" s="51" t="s">
        <v>43</v>
      </c>
      <c r="D49" s="51" t="s">
        <v>172</v>
      </c>
      <c r="E49" s="52"/>
      <c r="F49" s="64"/>
      <c r="H49" s="52"/>
      <c r="I49" s="136"/>
    </row>
    <row r="50" spans="1:9" ht="20.100000000000001" hidden="1" customHeight="1">
      <c r="A50" s="56">
        <v>46235</v>
      </c>
      <c r="B50" s="55" t="s">
        <v>186</v>
      </c>
      <c r="C50" s="55" t="s">
        <v>43</v>
      </c>
      <c r="D50" s="55" t="s">
        <v>187</v>
      </c>
      <c r="E50" s="54"/>
      <c r="F50" s="60"/>
      <c r="H50" s="52" t="s">
        <v>208</v>
      </c>
      <c r="I50" s="136"/>
    </row>
    <row r="51" spans="1:9" ht="20.100000000000001" hidden="1" customHeight="1">
      <c r="A51" s="56">
        <v>46236</v>
      </c>
      <c r="B51" s="55" t="s">
        <v>189</v>
      </c>
      <c r="C51" s="55" t="s">
        <v>43</v>
      </c>
      <c r="D51" s="55" t="s">
        <v>187</v>
      </c>
      <c r="E51" s="54"/>
      <c r="F51" s="54"/>
      <c r="H51" s="52" t="s">
        <v>209</v>
      </c>
      <c r="I51" s="136"/>
    </row>
    <row r="52" spans="1:9" ht="20.100000000000001" customHeight="1">
      <c r="A52" s="53">
        <v>46237</v>
      </c>
      <c r="B52" s="51" t="s">
        <v>171</v>
      </c>
      <c r="C52" s="51" t="s">
        <v>45</v>
      </c>
      <c r="D52" s="51" t="s">
        <v>172</v>
      </c>
      <c r="E52" s="52"/>
      <c r="F52" s="64"/>
      <c r="H52" s="52"/>
      <c r="I52" s="136"/>
    </row>
    <row r="53" spans="1:9" ht="20.100000000000001" customHeight="1">
      <c r="A53" s="53">
        <v>46238</v>
      </c>
      <c r="B53" s="51" t="s">
        <v>174</v>
      </c>
      <c r="C53" s="51" t="s">
        <v>45</v>
      </c>
      <c r="D53" s="51" t="s">
        <v>172</v>
      </c>
      <c r="E53" s="52"/>
      <c r="F53" s="64"/>
      <c r="H53" s="52"/>
      <c r="I53" s="136"/>
    </row>
    <row r="54" spans="1:9" ht="20.100000000000001" customHeight="1">
      <c r="A54" s="53">
        <v>46239</v>
      </c>
      <c r="B54" s="51" t="s">
        <v>177</v>
      </c>
      <c r="C54" s="51" t="s">
        <v>45</v>
      </c>
      <c r="D54" s="51" t="s">
        <v>172</v>
      </c>
      <c r="E54" s="52"/>
      <c r="F54" s="64"/>
      <c r="H54" s="52"/>
      <c r="I54" s="136"/>
    </row>
    <row r="55" spans="1:9" ht="20.100000000000001" customHeight="1">
      <c r="A55" s="53">
        <v>46240</v>
      </c>
      <c r="B55" s="51" t="s">
        <v>180</v>
      </c>
      <c r="C55" s="51" t="s">
        <v>45</v>
      </c>
      <c r="D55" s="51" t="s">
        <v>172</v>
      </c>
      <c r="E55" s="52"/>
      <c r="F55" s="64"/>
      <c r="H55" s="52"/>
      <c r="I55" s="136"/>
    </row>
    <row r="56" spans="1:9" ht="20.100000000000001" customHeight="1">
      <c r="A56" s="53">
        <v>46241</v>
      </c>
      <c r="B56" s="51" t="s">
        <v>183</v>
      </c>
      <c r="C56" s="51" t="s">
        <v>45</v>
      </c>
      <c r="D56" s="51" t="s">
        <v>172</v>
      </c>
      <c r="E56" s="52"/>
      <c r="F56" s="64"/>
      <c r="H56" s="52"/>
      <c r="I56" s="136"/>
    </row>
    <row r="57" spans="1:9" ht="20.100000000000001" hidden="1" customHeight="1">
      <c r="A57" s="56">
        <v>46242</v>
      </c>
      <c r="B57" s="55" t="s">
        <v>186</v>
      </c>
      <c r="C57" s="55" t="s">
        <v>45</v>
      </c>
      <c r="D57" s="55" t="s">
        <v>187</v>
      </c>
      <c r="E57" s="54"/>
      <c r="F57" s="60"/>
      <c r="H57" s="52" t="s">
        <v>210</v>
      </c>
      <c r="I57" s="136"/>
    </row>
    <row r="58" spans="1:9" ht="20.100000000000001" hidden="1" customHeight="1">
      <c r="A58" s="56">
        <v>46243</v>
      </c>
      <c r="B58" s="55" t="s">
        <v>189</v>
      </c>
      <c r="C58" s="55" t="s">
        <v>45</v>
      </c>
      <c r="D58" s="55" t="s">
        <v>187</v>
      </c>
      <c r="E58" s="54"/>
      <c r="F58" s="54"/>
      <c r="H58" s="52" t="s">
        <v>211</v>
      </c>
      <c r="I58" s="136"/>
    </row>
    <row r="59" spans="1:9" ht="20.100000000000001" customHeight="1">
      <c r="A59" s="53">
        <v>46244</v>
      </c>
      <c r="B59" s="51" t="s">
        <v>171</v>
      </c>
      <c r="C59" s="51" t="s">
        <v>46</v>
      </c>
      <c r="D59" s="51" t="s">
        <v>172</v>
      </c>
      <c r="E59" s="52"/>
      <c r="F59" s="64"/>
      <c r="H59" s="52"/>
      <c r="I59" s="136"/>
    </row>
    <row r="60" spans="1:9" ht="20.100000000000001" customHeight="1">
      <c r="A60" s="53">
        <v>46245</v>
      </c>
      <c r="B60" s="51" t="s">
        <v>174</v>
      </c>
      <c r="C60" s="51" t="s">
        <v>46</v>
      </c>
      <c r="D60" s="51" t="s">
        <v>172</v>
      </c>
      <c r="E60" s="52"/>
      <c r="F60" s="64"/>
      <c r="H60" s="52"/>
      <c r="I60" s="136"/>
    </row>
    <row r="61" spans="1:9" ht="20.100000000000001" customHeight="1">
      <c r="A61" s="53">
        <v>46246</v>
      </c>
      <c r="B61" s="51" t="s">
        <v>177</v>
      </c>
      <c r="C61" s="51" t="s">
        <v>46</v>
      </c>
      <c r="D61" s="51" t="s">
        <v>172</v>
      </c>
      <c r="E61" s="52"/>
      <c r="F61" s="64"/>
      <c r="H61" s="52"/>
      <c r="I61" s="136"/>
    </row>
    <row r="62" spans="1:9" ht="20.100000000000001" customHeight="1">
      <c r="A62" s="53">
        <v>46247</v>
      </c>
      <c r="B62" s="51" t="s">
        <v>180</v>
      </c>
      <c r="C62" s="51" t="s">
        <v>46</v>
      </c>
      <c r="D62" s="51" t="s">
        <v>172</v>
      </c>
      <c r="E62" s="52"/>
      <c r="F62" s="64"/>
      <c r="H62" s="52"/>
      <c r="I62" s="136"/>
    </row>
    <row r="63" spans="1:9" ht="20.100000000000001" customHeight="1">
      <c r="A63" s="53">
        <v>46248</v>
      </c>
      <c r="B63" s="51" t="s">
        <v>183</v>
      </c>
      <c r="C63" s="51" t="s">
        <v>46</v>
      </c>
      <c r="D63" s="51" t="s">
        <v>172</v>
      </c>
      <c r="E63" s="52"/>
      <c r="F63" s="64"/>
      <c r="H63" s="52"/>
      <c r="I63" s="136"/>
    </row>
    <row r="64" spans="1:9" ht="20.100000000000001" hidden="1" customHeight="1">
      <c r="A64" s="59">
        <v>46249</v>
      </c>
      <c r="B64" s="58" t="s">
        <v>186</v>
      </c>
      <c r="C64" s="58" t="s">
        <v>46</v>
      </c>
      <c r="D64" s="58" t="s">
        <v>212</v>
      </c>
      <c r="E64" s="57" t="s">
        <v>213</v>
      </c>
      <c r="F64" s="57"/>
      <c r="H64" s="52" t="s">
        <v>214</v>
      </c>
      <c r="I64" s="136"/>
    </row>
    <row r="65" spans="1:9" ht="20.100000000000001" hidden="1" customHeight="1">
      <c r="A65" s="56">
        <v>46250</v>
      </c>
      <c r="B65" s="55" t="s">
        <v>189</v>
      </c>
      <c r="C65" s="55" t="s">
        <v>46</v>
      </c>
      <c r="D65" s="55" t="s">
        <v>187</v>
      </c>
      <c r="E65" s="54"/>
      <c r="F65" s="54"/>
      <c r="H65" s="52"/>
      <c r="I65" s="136"/>
    </row>
    <row r="66" spans="1:9" ht="20.100000000000001" customHeight="1">
      <c r="A66" s="53">
        <v>46251</v>
      </c>
      <c r="B66" s="51" t="s">
        <v>171</v>
      </c>
      <c r="C66" s="51" t="s">
        <v>47</v>
      </c>
      <c r="D66" s="51" t="s">
        <v>172</v>
      </c>
      <c r="E66" s="52"/>
      <c r="F66" s="64"/>
    </row>
    <row r="67" spans="1:9" ht="20.100000000000001" customHeight="1">
      <c r="A67" s="53">
        <v>46252</v>
      </c>
      <c r="B67" s="51" t="s">
        <v>174</v>
      </c>
      <c r="C67" s="51" t="s">
        <v>47</v>
      </c>
      <c r="D67" s="51" t="s">
        <v>172</v>
      </c>
      <c r="E67" s="52"/>
      <c r="F67" s="64"/>
    </row>
    <row r="68" spans="1:9" ht="20.100000000000001" customHeight="1">
      <c r="A68" s="53">
        <v>46253</v>
      </c>
      <c r="B68" s="51" t="s">
        <v>177</v>
      </c>
      <c r="C68" s="51" t="s">
        <v>47</v>
      </c>
      <c r="D68" s="51" t="s">
        <v>172</v>
      </c>
      <c r="E68" s="52"/>
      <c r="F68" s="64"/>
    </row>
    <row r="69" spans="1:9" ht="20.100000000000001" customHeight="1">
      <c r="A69" s="53">
        <v>46254</v>
      </c>
      <c r="B69" s="51" t="s">
        <v>180</v>
      </c>
      <c r="C69" s="51" t="s">
        <v>47</v>
      </c>
      <c r="D69" s="51" t="s">
        <v>172</v>
      </c>
      <c r="E69" s="52"/>
      <c r="F69" s="64"/>
    </row>
    <row r="70" spans="1:9" ht="20.100000000000001" customHeight="1">
      <c r="A70" s="53">
        <v>46255</v>
      </c>
      <c r="B70" s="51" t="s">
        <v>183</v>
      </c>
      <c r="C70" s="51" t="s">
        <v>47</v>
      </c>
      <c r="D70" s="51" t="s">
        <v>172</v>
      </c>
      <c r="E70" s="52"/>
      <c r="F70" s="64"/>
    </row>
    <row r="71" spans="1:9" ht="20.100000000000001" hidden="1" customHeight="1">
      <c r="A71" s="56">
        <v>46256</v>
      </c>
      <c r="B71" s="55" t="s">
        <v>186</v>
      </c>
      <c r="C71" s="55" t="s">
        <v>47</v>
      </c>
      <c r="D71" s="55" t="s">
        <v>187</v>
      </c>
      <c r="E71" s="54"/>
      <c r="F71" s="60"/>
    </row>
    <row r="72" spans="1:9" ht="20.100000000000001" hidden="1" customHeight="1">
      <c r="A72" s="56">
        <v>46257</v>
      </c>
      <c r="B72" s="55" t="s">
        <v>189</v>
      </c>
      <c r="C72" s="55" t="s">
        <v>47</v>
      </c>
      <c r="D72" s="55" t="s">
        <v>187</v>
      </c>
      <c r="E72" s="54"/>
      <c r="F72" s="54"/>
    </row>
    <row r="73" spans="1:9" ht="20.100000000000001" customHeight="1">
      <c r="A73" s="53">
        <v>46258</v>
      </c>
      <c r="B73" s="51" t="s">
        <v>171</v>
      </c>
      <c r="C73" s="51" t="s">
        <v>48</v>
      </c>
      <c r="D73" s="51" t="s">
        <v>172</v>
      </c>
      <c r="E73" s="52"/>
      <c r="F73" s="64"/>
    </row>
    <row r="74" spans="1:9" ht="20.100000000000001" customHeight="1">
      <c r="A74" s="53">
        <v>46259</v>
      </c>
      <c r="B74" s="51" t="s">
        <v>174</v>
      </c>
      <c r="C74" s="51" t="s">
        <v>48</v>
      </c>
      <c r="D74" s="51" t="s">
        <v>172</v>
      </c>
      <c r="E74" s="52"/>
      <c r="F74" s="64"/>
    </row>
    <row r="75" spans="1:9" ht="20.100000000000001" customHeight="1">
      <c r="A75" s="53">
        <v>46260</v>
      </c>
      <c r="B75" s="51" t="s">
        <v>177</v>
      </c>
      <c r="C75" s="51" t="s">
        <v>48</v>
      </c>
      <c r="D75" s="51" t="s">
        <v>172</v>
      </c>
      <c r="E75" s="52"/>
      <c r="F75" s="64"/>
    </row>
    <row r="76" spans="1:9" ht="20.100000000000001" customHeight="1">
      <c r="A76" s="53">
        <v>46261</v>
      </c>
      <c r="B76" s="51" t="s">
        <v>180</v>
      </c>
      <c r="C76" s="51" t="s">
        <v>48</v>
      </c>
      <c r="D76" s="51" t="s">
        <v>172</v>
      </c>
      <c r="E76" s="52"/>
      <c r="F76" s="64"/>
    </row>
    <row r="77" spans="1:9" ht="20.100000000000001" customHeight="1">
      <c r="A77" s="53">
        <v>46262</v>
      </c>
      <c r="B77" s="51" t="s">
        <v>183</v>
      </c>
      <c r="C77" s="51" t="s">
        <v>48</v>
      </c>
      <c r="D77" s="51" t="s">
        <v>172</v>
      </c>
      <c r="E77" s="52"/>
      <c r="F77" s="64"/>
    </row>
    <row r="78" spans="1:9" ht="20.100000000000001" hidden="1" customHeight="1">
      <c r="A78" s="56">
        <v>46263</v>
      </c>
      <c r="B78" s="55" t="s">
        <v>186</v>
      </c>
      <c r="C78" s="55" t="s">
        <v>48</v>
      </c>
      <c r="D78" s="55" t="s">
        <v>187</v>
      </c>
      <c r="E78" s="54"/>
      <c r="F78" s="60"/>
    </row>
    <row r="79" spans="1:9" ht="20.100000000000001" hidden="1" customHeight="1">
      <c r="A79" s="56">
        <v>46264</v>
      </c>
      <c r="B79" s="55" t="s">
        <v>189</v>
      </c>
      <c r="C79" s="55" t="s">
        <v>48</v>
      </c>
      <c r="D79" s="55" t="s">
        <v>187</v>
      </c>
      <c r="E79" s="54"/>
      <c r="F79" s="54"/>
    </row>
    <row r="80" spans="1:9" ht="20.100000000000001" customHeight="1">
      <c r="A80" s="53">
        <v>46265</v>
      </c>
      <c r="B80" s="51" t="s">
        <v>171</v>
      </c>
      <c r="C80" s="51" t="s">
        <v>49</v>
      </c>
      <c r="D80" s="51" t="s">
        <v>172</v>
      </c>
      <c r="E80" s="52"/>
      <c r="F80" s="64">
        <v>34.450000000000003</v>
      </c>
    </row>
    <row r="81" spans="1:6" ht="20.100000000000001" customHeight="1">
      <c r="A81" s="53">
        <v>46266</v>
      </c>
      <c r="B81" s="51" t="s">
        <v>174</v>
      </c>
      <c r="C81" s="51" t="s">
        <v>49</v>
      </c>
      <c r="D81" s="51" t="s">
        <v>172</v>
      </c>
      <c r="E81" s="52"/>
      <c r="F81" s="64">
        <v>34.450000000000003</v>
      </c>
    </row>
    <row r="82" spans="1:6" ht="20.100000000000001" customHeight="1">
      <c r="A82" s="53">
        <v>46267</v>
      </c>
      <c r="B82" s="51" t="s">
        <v>177</v>
      </c>
      <c r="C82" s="51" t="s">
        <v>49</v>
      </c>
      <c r="D82" s="51" t="s">
        <v>172</v>
      </c>
      <c r="E82" s="52"/>
      <c r="F82" s="64">
        <v>34.450000000000003</v>
      </c>
    </row>
    <row r="83" spans="1:6" ht="20.100000000000001" customHeight="1">
      <c r="A83" s="53">
        <v>46268</v>
      </c>
      <c r="B83" s="51" t="s">
        <v>180</v>
      </c>
      <c r="C83" s="51" t="s">
        <v>49</v>
      </c>
      <c r="D83" s="51" t="s">
        <v>172</v>
      </c>
      <c r="E83" s="52"/>
      <c r="F83" s="64">
        <v>34.450000000000003</v>
      </c>
    </row>
    <row r="84" spans="1:6" ht="20.100000000000001" customHeight="1">
      <c r="A84" s="53">
        <v>46269</v>
      </c>
      <c r="B84" s="51" t="s">
        <v>183</v>
      </c>
      <c r="C84" s="51" t="s">
        <v>49</v>
      </c>
      <c r="D84" s="51" t="s">
        <v>172</v>
      </c>
      <c r="E84" s="52"/>
      <c r="F84" s="64">
        <v>34.450000000000003</v>
      </c>
    </row>
    <row r="85" spans="1:6" ht="20.100000000000001" hidden="1" customHeight="1">
      <c r="A85" s="56">
        <v>46270</v>
      </c>
      <c r="B85" s="55" t="s">
        <v>186</v>
      </c>
      <c r="C85" s="55" t="s">
        <v>49</v>
      </c>
      <c r="D85" s="55" t="s">
        <v>187</v>
      </c>
      <c r="E85" s="54"/>
      <c r="F85" s="60"/>
    </row>
    <row r="86" spans="1:6" ht="20.100000000000001" hidden="1" customHeight="1">
      <c r="A86" s="56">
        <v>46271</v>
      </c>
      <c r="B86" s="55" t="s">
        <v>189</v>
      </c>
      <c r="C86" s="55" t="s">
        <v>49</v>
      </c>
      <c r="D86" s="55" t="s">
        <v>187</v>
      </c>
      <c r="E86" s="54"/>
      <c r="F86" s="54"/>
    </row>
    <row r="87" spans="1:6" ht="20.100000000000001" customHeight="1">
      <c r="A87" s="53">
        <v>46272</v>
      </c>
      <c r="B87" s="51" t="s">
        <v>171</v>
      </c>
      <c r="C87" s="51" t="s">
        <v>50</v>
      </c>
      <c r="D87" s="51" t="s">
        <v>172</v>
      </c>
      <c r="E87" s="52"/>
      <c r="F87" s="64">
        <v>34.450000000000003</v>
      </c>
    </row>
    <row r="88" spans="1:6" ht="20.100000000000001" customHeight="1">
      <c r="A88" s="53">
        <v>46273</v>
      </c>
      <c r="B88" s="51" t="s">
        <v>174</v>
      </c>
      <c r="C88" s="51" t="s">
        <v>50</v>
      </c>
      <c r="D88" s="51" t="s">
        <v>172</v>
      </c>
      <c r="E88" s="52"/>
      <c r="F88" s="64">
        <v>34.450000000000003</v>
      </c>
    </row>
    <row r="89" spans="1:6" ht="20.100000000000001" customHeight="1">
      <c r="A89" s="53">
        <v>46274</v>
      </c>
      <c r="B89" s="51" t="s">
        <v>177</v>
      </c>
      <c r="C89" s="51" t="s">
        <v>50</v>
      </c>
      <c r="D89" s="51" t="s">
        <v>172</v>
      </c>
      <c r="E89" s="52"/>
      <c r="F89" s="64">
        <v>34.450000000000003</v>
      </c>
    </row>
    <row r="90" spans="1:6" ht="20.100000000000001" customHeight="1">
      <c r="A90" s="53">
        <v>46275</v>
      </c>
      <c r="B90" s="51" t="s">
        <v>180</v>
      </c>
      <c r="C90" s="51" t="s">
        <v>50</v>
      </c>
      <c r="D90" s="51" t="s">
        <v>172</v>
      </c>
      <c r="E90" s="52"/>
      <c r="F90" s="64">
        <v>34.450000000000003</v>
      </c>
    </row>
    <row r="91" spans="1:6" ht="20.100000000000001" customHeight="1">
      <c r="A91" s="53">
        <v>46276</v>
      </c>
      <c r="B91" s="51" t="s">
        <v>183</v>
      </c>
      <c r="C91" s="51" t="s">
        <v>50</v>
      </c>
      <c r="D91" s="51" t="s">
        <v>172</v>
      </c>
      <c r="E91" s="52"/>
      <c r="F91" s="64">
        <v>34.450000000000003</v>
      </c>
    </row>
    <row r="92" spans="1:6" ht="20.100000000000001" hidden="1" customHeight="1">
      <c r="A92" s="56">
        <v>46277</v>
      </c>
      <c r="B92" s="55" t="s">
        <v>186</v>
      </c>
      <c r="C92" s="55" t="s">
        <v>50</v>
      </c>
      <c r="D92" s="55" t="s">
        <v>187</v>
      </c>
      <c r="E92" s="54"/>
      <c r="F92" s="60"/>
    </row>
    <row r="93" spans="1:6" ht="20.100000000000001" hidden="1" customHeight="1">
      <c r="A93" s="56">
        <v>46278</v>
      </c>
      <c r="B93" s="55" t="s">
        <v>189</v>
      </c>
      <c r="C93" s="55" t="s">
        <v>50</v>
      </c>
      <c r="D93" s="55" t="s">
        <v>187</v>
      </c>
      <c r="E93" s="54"/>
      <c r="F93" s="54"/>
    </row>
    <row r="94" spans="1:6" ht="20.100000000000001" customHeight="1">
      <c r="A94" s="53">
        <v>46279</v>
      </c>
      <c r="B94" s="51" t="s">
        <v>171</v>
      </c>
      <c r="C94" s="51" t="s">
        <v>51</v>
      </c>
      <c r="D94" s="51" t="s">
        <v>172</v>
      </c>
      <c r="E94" s="52"/>
      <c r="F94" s="64">
        <v>34.450000000000003</v>
      </c>
    </row>
    <row r="95" spans="1:6" ht="20.100000000000001" customHeight="1">
      <c r="A95" s="53">
        <v>46280</v>
      </c>
      <c r="B95" s="51" t="s">
        <v>174</v>
      </c>
      <c r="C95" s="51" t="s">
        <v>51</v>
      </c>
      <c r="D95" s="51" t="s">
        <v>172</v>
      </c>
      <c r="E95" s="52"/>
      <c r="F95" s="64">
        <v>34.450000000000003</v>
      </c>
    </row>
    <row r="96" spans="1:6" ht="20.100000000000001" customHeight="1">
      <c r="A96" s="53">
        <v>46281</v>
      </c>
      <c r="B96" s="51" t="s">
        <v>177</v>
      </c>
      <c r="C96" s="51" t="s">
        <v>51</v>
      </c>
      <c r="D96" s="51" t="s">
        <v>172</v>
      </c>
      <c r="E96" s="52"/>
      <c r="F96" s="64">
        <v>34.450000000000003</v>
      </c>
    </row>
    <row r="97" spans="1:6" ht="20.100000000000001" customHeight="1">
      <c r="A97" s="53">
        <v>46282</v>
      </c>
      <c r="B97" s="51" t="s">
        <v>180</v>
      </c>
      <c r="C97" s="51" t="s">
        <v>51</v>
      </c>
      <c r="D97" s="51" t="s">
        <v>172</v>
      </c>
      <c r="E97" s="52"/>
      <c r="F97" s="64">
        <v>34.450000000000003</v>
      </c>
    </row>
    <row r="98" spans="1:6" ht="20.100000000000001" customHeight="1">
      <c r="A98" s="53">
        <v>46283</v>
      </c>
      <c r="B98" s="51" t="s">
        <v>183</v>
      </c>
      <c r="C98" s="51" t="s">
        <v>51</v>
      </c>
      <c r="D98" s="51" t="s">
        <v>172</v>
      </c>
      <c r="E98" s="52"/>
      <c r="F98" s="64">
        <v>34.450000000000003</v>
      </c>
    </row>
    <row r="99" spans="1:6" ht="20.100000000000001" hidden="1" customHeight="1">
      <c r="A99" s="56">
        <v>46284</v>
      </c>
      <c r="B99" s="55" t="s">
        <v>186</v>
      </c>
      <c r="C99" s="55" t="s">
        <v>51</v>
      </c>
      <c r="D99" s="55" t="s">
        <v>187</v>
      </c>
      <c r="E99" s="54"/>
      <c r="F99" s="60"/>
    </row>
    <row r="100" spans="1:6" ht="20.100000000000001" hidden="1" customHeight="1">
      <c r="A100" s="56">
        <v>46285</v>
      </c>
      <c r="B100" s="55" t="s">
        <v>189</v>
      </c>
      <c r="C100" s="55" t="s">
        <v>51</v>
      </c>
      <c r="D100" s="55" t="s">
        <v>187</v>
      </c>
      <c r="E100" s="54"/>
      <c r="F100" s="54"/>
    </row>
    <row r="101" spans="1:6" ht="20.100000000000001" customHeight="1">
      <c r="A101" s="53">
        <v>46286</v>
      </c>
      <c r="B101" s="51" t="s">
        <v>171</v>
      </c>
      <c r="C101" s="51" t="s">
        <v>52</v>
      </c>
      <c r="D101" s="51" t="s">
        <v>172</v>
      </c>
      <c r="E101" s="52"/>
      <c r="F101" s="64">
        <v>34.450000000000003</v>
      </c>
    </row>
    <row r="102" spans="1:6" ht="20.100000000000001" customHeight="1">
      <c r="A102" s="53">
        <v>46287</v>
      </c>
      <c r="B102" s="51" t="s">
        <v>174</v>
      </c>
      <c r="C102" s="51" t="s">
        <v>52</v>
      </c>
      <c r="D102" s="51" t="s">
        <v>172</v>
      </c>
      <c r="E102" s="52"/>
      <c r="F102" s="64">
        <v>34.450000000000003</v>
      </c>
    </row>
    <row r="103" spans="1:6" ht="20.100000000000001" customHeight="1">
      <c r="A103" s="53">
        <v>46288</v>
      </c>
      <c r="B103" s="51" t="s">
        <v>177</v>
      </c>
      <c r="C103" s="51" t="s">
        <v>52</v>
      </c>
      <c r="D103" s="51" t="s">
        <v>172</v>
      </c>
      <c r="E103" s="52"/>
      <c r="F103" s="64">
        <v>34.450000000000003</v>
      </c>
    </row>
    <row r="104" spans="1:6" ht="20.100000000000001" customHeight="1">
      <c r="A104" s="53">
        <v>46289</v>
      </c>
      <c r="B104" s="51" t="s">
        <v>180</v>
      </c>
      <c r="C104" s="51" t="s">
        <v>52</v>
      </c>
      <c r="D104" s="51" t="s">
        <v>172</v>
      </c>
      <c r="E104" s="52"/>
      <c r="F104" s="64">
        <v>34.450000000000003</v>
      </c>
    </row>
    <row r="105" spans="1:6" ht="20.100000000000001" customHeight="1">
      <c r="A105" s="53">
        <v>46290</v>
      </c>
      <c r="B105" s="51" t="s">
        <v>183</v>
      </c>
      <c r="C105" s="51" t="s">
        <v>52</v>
      </c>
      <c r="D105" s="51" t="s">
        <v>172</v>
      </c>
      <c r="E105" s="52"/>
      <c r="F105" s="64">
        <v>34.450000000000003</v>
      </c>
    </row>
    <row r="106" spans="1:6" ht="20.100000000000001" hidden="1" customHeight="1">
      <c r="A106" s="56">
        <v>46291</v>
      </c>
      <c r="B106" s="55" t="s">
        <v>186</v>
      </c>
      <c r="C106" s="55" t="s">
        <v>52</v>
      </c>
      <c r="D106" s="55" t="s">
        <v>187</v>
      </c>
      <c r="E106" s="54"/>
      <c r="F106" s="60"/>
    </row>
    <row r="107" spans="1:6" ht="20.100000000000001" hidden="1" customHeight="1">
      <c r="A107" s="56">
        <v>46292</v>
      </c>
      <c r="B107" s="55" t="s">
        <v>189</v>
      </c>
      <c r="C107" s="55" t="s">
        <v>52</v>
      </c>
      <c r="D107" s="55" t="s">
        <v>187</v>
      </c>
      <c r="E107" s="54"/>
      <c r="F107" s="54"/>
    </row>
    <row r="108" spans="1:6" ht="20.100000000000001" customHeight="1">
      <c r="A108" s="53">
        <v>46293</v>
      </c>
      <c r="B108" s="51" t="s">
        <v>171</v>
      </c>
      <c r="C108" s="51" t="s">
        <v>53</v>
      </c>
      <c r="D108" s="51" t="s">
        <v>172</v>
      </c>
      <c r="E108" s="52"/>
      <c r="F108" s="64">
        <v>34.450000000000003</v>
      </c>
    </row>
    <row r="109" spans="1:6" ht="20.100000000000001" customHeight="1">
      <c r="A109" s="53">
        <v>46294</v>
      </c>
      <c r="B109" s="51" t="s">
        <v>174</v>
      </c>
      <c r="C109" s="51" t="s">
        <v>53</v>
      </c>
      <c r="D109" s="51" t="s">
        <v>172</v>
      </c>
      <c r="E109" s="52"/>
      <c r="F109" s="64">
        <v>34.450000000000003</v>
      </c>
    </row>
    <row r="110" spans="1:6" ht="20.100000000000001" customHeight="1">
      <c r="A110" s="53">
        <v>46295</v>
      </c>
      <c r="B110" s="51" t="s">
        <v>177</v>
      </c>
      <c r="C110" s="51" t="s">
        <v>53</v>
      </c>
      <c r="D110" s="51" t="s">
        <v>172</v>
      </c>
      <c r="E110" s="52"/>
      <c r="F110" s="64">
        <v>34.450000000000003</v>
      </c>
    </row>
    <row r="111" spans="1:6" ht="20.100000000000001" customHeight="1">
      <c r="A111" s="53">
        <v>46296</v>
      </c>
      <c r="B111" s="51" t="s">
        <v>180</v>
      </c>
      <c r="C111" s="51" t="s">
        <v>53</v>
      </c>
      <c r="D111" s="51" t="s">
        <v>172</v>
      </c>
      <c r="E111" s="52"/>
      <c r="F111" s="64">
        <v>34.450000000000003</v>
      </c>
    </row>
    <row r="112" spans="1:6" ht="20.100000000000001" customHeight="1">
      <c r="A112" s="53">
        <v>46297</v>
      </c>
      <c r="B112" s="51" t="s">
        <v>183</v>
      </c>
      <c r="C112" s="51" t="s">
        <v>53</v>
      </c>
      <c r="D112" s="51" t="s">
        <v>172</v>
      </c>
      <c r="E112" s="52"/>
      <c r="F112" s="64">
        <v>34.450000000000003</v>
      </c>
    </row>
    <row r="113" spans="1:6" ht="20.100000000000001" hidden="1" customHeight="1">
      <c r="A113" s="56">
        <v>46298</v>
      </c>
      <c r="B113" s="55" t="s">
        <v>186</v>
      </c>
      <c r="C113" s="55" t="s">
        <v>53</v>
      </c>
      <c r="D113" s="55" t="s">
        <v>187</v>
      </c>
      <c r="E113" s="54"/>
      <c r="F113" s="60"/>
    </row>
    <row r="114" spans="1:6" ht="20.100000000000001" hidden="1" customHeight="1">
      <c r="A114" s="56">
        <v>46299</v>
      </c>
      <c r="B114" s="55" t="s">
        <v>189</v>
      </c>
      <c r="C114" s="55" t="s">
        <v>53</v>
      </c>
      <c r="D114" s="55" t="s">
        <v>187</v>
      </c>
      <c r="E114" s="54"/>
      <c r="F114" s="54"/>
    </row>
    <row r="115" spans="1:6" ht="20.100000000000001" customHeight="1">
      <c r="A115" s="53">
        <v>46300</v>
      </c>
      <c r="B115" s="51" t="s">
        <v>171</v>
      </c>
      <c r="C115" s="51" t="s">
        <v>54</v>
      </c>
      <c r="D115" s="51" t="s">
        <v>172</v>
      </c>
      <c r="E115" s="52"/>
      <c r="F115" s="64">
        <v>34.450000000000003</v>
      </c>
    </row>
    <row r="116" spans="1:6" ht="20.100000000000001" customHeight="1">
      <c r="A116" s="53">
        <v>46301</v>
      </c>
      <c r="B116" s="51" t="s">
        <v>174</v>
      </c>
      <c r="C116" s="51" t="s">
        <v>54</v>
      </c>
      <c r="D116" s="51" t="s">
        <v>172</v>
      </c>
      <c r="E116" s="52"/>
      <c r="F116" s="64">
        <v>34.450000000000003</v>
      </c>
    </row>
    <row r="117" spans="1:6" ht="20.100000000000001" customHeight="1">
      <c r="A117" s="53">
        <v>46302</v>
      </c>
      <c r="B117" s="51" t="s">
        <v>177</v>
      </c>
      <c r="C117" s="51" t="s">
        <v>54</v>
      </c>
      <c r="D117" s="51" t="s">
        <v>172</v>
      </c>
      <c r="E117" s="52"/>
      <c r="F117" s="64">
        <v>34.450000000000003</v>
      </c>
    </row>
    <row r="118" spans="1:6" ht="20.100000000000001" customHeight="1">
      <c r="A118" s="53">
        <v>46303</v>
      </c>
      <c r="B118" s="51" t="s">
        <v>180</v>
      </c>
      <c r="C118" s="51" t="s">
        <v>54</v>
      </c>
      <c r="D118" s="51" t="s">
        <v>172</v>
      </c>
      <c r="E118" s="52"/>
      <c r="F118" s="64">
        <v>34.450000000000003</v>
      </c>
    </row>
    <row r="119" spans="1:6" ht="20.100000000000001" customHeight="1">
      <c r="A119" s="53">
        <v>46304</v>
      </c>
      <c r="B119" s="51" t="s">
        <v>183</v>
      </c>
      <c r="C119" s="51" t="s">
        <v>54</v>
      </c>
      <c r="D119" s="51" t="s">
        <v>172</v>
      </c>
      <c r="E119" s="52"/>
      <c r="F119" s="64">
        <v>34.450000000000003</v>
      </c>
    </row>
    <row r="120" spans="1:6" ht="20.100000000000001" hidden="1" customHeight="1">
      <c r="A120" s="56">
        <v>46305</v>
      </c>
      <c r="B120" s="55" t="s">
        <v>186</v>
      </c>
      <c r="C120" s="55" t="s">
        <v>54</v>
      </c>
      <c r="D120" s="55" t="s">
        <v>187</v>
      </c>
      <c r="E120" s="54"/>
      <c r="F120" s="60"/>
    </row>
    <row r="121" spans="1:6" ht="20.100000000000001" hidden="1" customHeight="1">
      <c r="A121" s="56">
        <v>46306</v>
      </c>
      <c r="B121" s="55" t="s">
        <v>189</v>
      </c>
      <c r="C121" s="55" t="s">
        <v>54</v>
      </c>
      <c r="D121" s="55" t="s">
        <v>187</v>
      </c>
      <c r="E121" s="54"/>
      <c r="F121" s="54"/>
    </row>
    <row r="122" spans="1:6" ht="20.100000000000001" customHeight="1">
      <c r="A122" s="53">
        <v>46307</v>
      </c>
      <c r="B122" s="51" t="s">
        <v>171</v>
      </c>
      <c r="C122" s="51" t="s">
        <v>55</v>
      </c>
      <c r="D122" s="51" t="s">
        <v>172</v>
      </c>
      <c r="E122" s="52"/>
      <c r="F122" s="64">
        <v>34.450000000000003</v>
      </c>
    </row>
    <row r="123" spans="1:6" ht="20.100000000000001" customHeight="1">
      <c r="A123" s="53">
        <v>46308</v>
      </c>
      <c r="B123" s="51" t="s">
        <v>174</v>
      </c>
      <c r="C123" s="51" t="s">
        <v>55</v>
      </c>
      <c r="D123" s="51" t="s">
        <v>172</v>
      </c>
      <c r="E123" s="52"/>
      <c r="F123" s="64">
        <v>34.450000000000003</v>
      </c>
    </row>
    <row r="124" spans="1:6" ht="20.100000000000001" customHeight="1">
      <c r="A124" s="53">
        <v>46309</v>
      </c>
      <c r="B124" s="51" t="s">
        <v>177</v>
      </c>
      <c r="C124" s="51" t="s">
        <v>55</v>
      </c>
      <c r="D124" s="51" t="s">
        <v>172</v>
      </c>
      <c r="E124" s="52"/>
      <c r="F124" s="64">
        <v>34.450000000000003</v>
      </c>
    </row>
    <row r="125" spans="1:6" ht="20.100000000000001" customHeight="1">
      <c r="A125" s="53">
        <v>46310</v>
      </c>
      <c r="B125" s="51" t="s">
        <v>180</v>
      </c>
      <c r="C125" s="51" t="s">
        <v>55</v>
      </c>
      <c r="D125" s="51" t="s">
        <v>172</v>
      </c>
      <c r="E125" s="52"/>
      <c r="F125" s="64">
        <v>34.450000000000003</v>
      </c>
    </row>
    <row r="126" spans="1:6" ht="20.100000000000001" customHeight="1">
      <c r="A126" s="53">
        <v>46311</v>
      </c>
      <c r="B126" s="51" t="s">
        <v>183</v>
      </c>
      <c r="C126" s="51" t="s">
        <v>55</v>
      </c>
      <c r="D126" s="51" t="s">
        <v>172</v>
      </c>
      <c r="E126" s="52"/>
      <c r="F126" s="64">
        <v>34.450000000000003</v>
      </c>
    </row>
    <row r="127" spans="1:6" ht="20.100000000000001" hidden="1" customHeight="1">
      <c r="A127" s="56">
        <v>46312</v>
      </c>
      <c r="B127" s="55" t="s">
        <v>186</v>
      </c>
      <c r="C127" s="55" t="s">
        <v>55</v>
      </c>
      <c r="D127" s="55" t="s">
        <v>187</v>
      </c>
      <c r="E127" s="54"/>
      <c r="F127" s="60"/>
    </row>
    <row r="128" spans="1:6" ht="20.100000000000001" hidden="1" customHeight="1">
      <c r="A128" s="56">
        <v>46313</v>
      </c>
      <c r="B128" s="55" t="s">
        <v>189</v>
      </c>
      <c r="C128" s="55" t="s">
        <v>55</v>
      </c>
      <c r="D128" s="55" t="s">
        <v>187</v>
      </c>
      <c r="E128" s="54"/>
      <c r="F128" s="54"/>
    </row>
    <row r="129" spans="1:6" ht="20.100000000000001" customHeight="1">
      <c r="A129" s="53">
        <v>46314</v>
      </c>
      <c r="B129" s="51" t="s">
        <v>171</v>
      </c>
      <c r="C129" s="51" t="s">
        <v>56</v>
      </c>
      <c r="D129" s="51" t="s">
        <v>172</v>
      </c>
      <c r="E129" s="52"/>
      <c r="F129" s="64">
        <v>34.450000000000003</v>
      </c>
    </row>
    <row r="130" spans="1:6" ht="20.100000000000001" customHeight="1">
      <c r="A130" s="53">
        <v>46315</v>
      </c>
      <c r="B130" s="51" t="s">
        <v>174</v>
      </c>
      <c r="C130" s="51" t="s">
        <v>56</v>
      </c>
      <c r="D130" s="51" t="s">
        <v>172</v>
      </c>
      <c r="E130" s="52"/>
      <c r="F130" s="64">
        <v>34.450000000000003</v>
      </c>
    </row>
    <row r="131" spans="1:6" ht="20.100000000000001" customHeight="1">
      <c r="A131" s="53">
        <v>46316</v>
      </c>
      <c r="B131" s="51" t="s">
        <v>177</v>
      </c>
      <c r="C131" s="51" t="s">
        <v>56</v>
      </c>
      <c r="D131" s="51" t="s">
        <v>172</v>
      </c>
      <c r="E131" s="52"/>
      <c r="F131" s="64">
        <v>34.450000000000003</v>
      </c>
    </row>
    <row r="132" spans="1:6" ht="20.100000000000001" customHeight="1">
      <c r="A132" s="53">
        <v>46317</v>
      </c>
      <c r="B132" s="51" t="s">
        <v>180</v>
      </c>
      <c r="C132" s="51" t="s">
        <v>56</v>
      </c>
      <c r="D132" s="51" t="s">
        <v>172</v>
      </c>
      <c r="E132" s="52"/>
      <c r="F132" s="64">
        <v>34.450000000000003</v>
      </c>
    </row>
    <row r="133" spans="1:6" ht="20.100000000000001" customHeight="1">
      <c r="A133" s="53">
        <v>46318</v>
      </c>
      <c r="B133" s="51" t="s">
        <v>183</v>
      </c>
      <c r="C133" s="51" t="s">
        <v>56</v>
      </c>
      <c r="D133" s="51" t="s">
        <v>172</v>
      </c>
      <c r="E133" s="52"/>
      <c r="F133" s="64">
        <v>34.450000000000003</v>
      </c>
    </row>
    <row r="134" spans="1:6" ht="20.100000000000001" hidden="1" customHeight="1">
      <c r="A134" s="56">
        <v>46319</v>
      </c>
      <c r="B134" s="55" t="s">
        <v>186</v>
      </c>
      <c r="C134" s="55" t="s">
        <v>56</v>
      </c>
      <c r="D134" s="55" t="s">
        <v>187</v>
      </c>
      <c r="E134" s="54"/>
      <c r="F134" s="60"/>
    </row>
    <row r="135" spans="1:6" ht="20.100000000000001" hidden="1" customHeight="1">
      <c r="A135" s="56">
        <v>46320</v>
      </c>
      <c r="B135" s="55" t="s">
        <v>189</v>
      </c>
      <c r="C135" s="55" t="s">
        <v>56</v>
      </c>
      <c r="D135" s="55" t="s">
        <v>187</v>
      </c>
      <c r="E135" s="54"/>
      <c r="F135" s="54"/>
    </row>
    <row r="136" spans="1:6" ht="20.100000000000001" customHeight="1">
      <c r="A136" s="53">
        <v>46321</v>
      </c>
      <c r="B136" s="51" t="s">
        <v>171</v>
      </c>
      <c r="C136" s="51" t="s">
        <v>57</v>
      </c>
      <c r="D136" s="51" t="s">
        <v>172</v>
      </c>
      <c r="E136" s="52"/>
      <c r="F136" s="64">
        <v>34.450000000000003</v>
      </c>
    </row>
    <row r="137" spans="1:6" ht="20.100000000000001" customHeight="1">
      <c r="A137" s="53">
        <v>46322</v>
      </c>
      <c r="B137" s="51" t="s">
        <v>174</v>
      </c>
      <c r="C137" s="51" t="s">
        <v>57</v>
      </c>
      <c r="D137" s="51" t="s">
        <v>172</v>
      </c>
      <c r="E137" s="52"/>
      <c r="F137" s="64">
        <v>34.450000000000003</v>
      </c>
    </row>
    <row r="138" spans="1:6" ht="20.100000000000001" customHeight="1">
      <c r="A138" s="53">
        <v>46323</v>
      </c>
      <c r="B138" s="51" t="s">
        <v>177</v>
      </c>
      <c r="C138" s="51" t="s">
        <v>57</v>
      </c>
      <c r="D138" s="51" t="s">
        <v>172</v>
      </c>
      <c r="E138" s="52"/>
      <c r="F138" s="64">
        <v>34.450000000000003</v>
      </c>
    </row>
    <row r="139" spans="1:6" ht="20.100000000000001" customHeight="1">
      <c r="A139" s="53">
        <v>46324</v>
      </c>
      <c r="B139" s="51" t="s">
        <v>180</v>
      </c>
      <c r="C139" s="51" t="s">
        <v>57</v>
      </c>
      <c r="D139" s="51" t="s">
        <v>172</v>
      </c>
      <c r="E139" s="52"/>
      <c r="F139" s="64">
        <v>34.450000000000003</v>
      </c>
    </row>
    <row r="140" spans="1:6" ht="20.100000000000001" customHeight="1">
      <c r="A140" s="53">
        <v>46325</v>
      </c>
      <c r="B140" s="51" t="s">
        <v>183</v>
      </c>
      <c r="C140" s="51" t="s">
        <v>57</v>
      </c>
      <c r="D140" s="51" t="s">
        <v>172</v>
      </c>
      <c r="E140" s="52"/>
      <c r="F140" s="64">
        <v>34.450000000000003</v>
      </c>
    </row>
    <row r="141" spans="1:6" ht="20.100000000000001" hidden="1" customHeight="1">
      <c r="A141" s="56">
        <v>46326</v>
      </c>
      <c r="B141" s="55" t="s">
        <v>186</v>
      </c>
      <c r="C141" s="55" t="s">
        <v>57</v>
      </c>
      <c r="D141" s="55" t="s">
        <v>187</v>
      </c>
      <c r="E141" s="54"/>
      <c r="F141" s="60"/>
    </row>
    <row r="142" spans="1:6" ht="20.100000000000001" hidden="1" customHeight="1">
      <c r="A142" s="59">
        <v>46327</v>
      </c>
      <c r="B142" s="58" t="s">
        <v>189</v>
      </c>
      <c r="C142" s="58" t="s">
        <v>57</v>
      </c>
      <c r="D142" s="58" t="s">
        <v>212</v>
      </c>
      <c r="E142" s="57" t="s">
        <v>215</v>
      </c>
      <c r="F142" s="57"/>
    </row>
    <row r="143" spans="1:6" ht="20.100000000000001" customHeight="1">
      <c r="A143" s="53">
        <v>46328</v>
      </c>
      <c r="B143" s="51" t="s">
        <v>171</v>
      </c>
      <c r="C143" s="51" t="s">
        <v>58</v>
      </c>
      <c r="D143" s="51" t="s">
        <v>172</v>
      </c>
      <c r="E143" s="52"/>
      <c r="F143" s="64">
        <v>34.450000000000003</v>
      </c>
    </row>
    <row r="144" spans="1:6" ht="20.100000000000001" customHeight="1">
      <c r="A144" s="53">
        <v>46329</v>
      </c>
      <c r="B144" s="51" t="s">
        <v>174</v>
      </c>
      <c r="C144" s="51" t="s">
        <v>58</v>
      </c>
      <c r="D144" s="51" t="s">
        <v>172</v>
      </c>
      <c r="E144" s="52"/>
      <c r="F144" s="64">
        <v>34.450000000000003</v>
      </c>
    </row>
    <row r="145" spans="1:6" ht="20.100000000000001" customHeight="1">
      <c r="A145" s="53">
        <v>46330</v>
      </c>
      <c r="B145" s="51" t="s">
        <v>177</v>
      </c>
      <c r="C145" s="51" t="s">
        <v>58</v>
      </c>
      <c r="D145" s="51" t="s">
        <v>172</v>
      </c>
      <c r="E145" s="52"/>
      <c r="F145" s="64">
        <v>34.450000000000003</v>
      </c>
    </row>
    <row r="146" spans="1:6" ht="20.100000000000001" customHeight="1">
      <c r="A146" s="53">
        <v>46331</v>
      </c>
      <c r="B146" s="51" t="s">
        <v>180</v>
      </c>
      <c r="C146" s="51" t="s">
        <v>58</v>
      </c>
      <c r="D146" s="51" t="s">
        <v>172</v>
      </c>
      <c r="E146" s="52"/>
      <c r="F146" s="64">
        <v>34.450000000000003</v>
      </c>
    </row>
    <row r="147" spans="1:6" ht="20.100000000000001" customHeight="1">
      <c r="A147" s="53">
        <v>46332</v>
      </c>
      <c r="B147" s="51" t="s">
        <v>183</v>
      </c>
      <c r="C147" s="51" t="s">
        <v>58</v>
      </c>
      <c r="D147" s="51" t="s">
        <v>172</v>
      </c>
      <c r="E147" s="52"/>
      <c r="F147" s="64">
        <v>34.450000000000003</v>
      </c>
    </row>
    <row r="148" spans="1:6" ht="20.100000000000001" hidden="1" customHeight="1">
      <c r="A148" s="56">
        <v>46333</v>
      </c>
      <c r="B148" s="55" t="s">
        <v>186</v>
      </c>
      <c r="C148" s="55" t="s">
        <v>58</v>
      </c>
      <c r="D148" s="55" t="s">
        <v>187</v>
      </c>
      <c r="E148" s="54"/>
      <c r="F148" s="60"/>
    </row>
    <row r="149" spans="1:6" ht="20.100000000000001" hidden="1" customHeight="1">
      <c r="A149" s="56">
        <v>46334</v>
      </c>
      <c r="B149" s="55" t="s">
        <v>189</v>
      </c>
      <c r="C149" s="55" t="s">
        <v>58</v>
      </c>
      <c r="D149" s="55" t="s">
        <v>187</v>
      </c>
      <c r="E149" s="54"/>
      <c r="F149" s="54"/>
    </row>
    <row r="150" spans="1:6" ht="20.100000000000001" customHeight="1">
      <c r="A150" s="53">
        <v>46335</v>
      </c>
      <c r="B150" s="51" t="s">
        <v>171</v>
      </c>
      <c r="C150" s="51" t="s">
        <v>59</v>
      </c>
      <c r="D150" s="51" t="s">
        <v>172</v>
      </c>
      <c r="E150" s="52"/>
      <c r="F150" s="64">
        <v>34.450000000000003</v>
      </c>
    </row>
    <row r="151" spans="1:6" ht="20.100000000000001" customHeight="1">
      <c r="A151" s="53">
        <v>46336</v>
      </c>
      <c r="B151" s="51" t="s">
        <v>174</v>
      </c>
      <c r="C151" s="51" t="s">
        <v>59</v>
      </c>
      <c r="D151" s="51" t="s">
        <v>172</v>
      </c>
      <c r="E151" s="52"/>
      <c r="F151" s="64">
        <v>34.450000000000003</v>
      </c>
    </row>
    <row r="152" spans="1:6" ht="20.100000000000001" customHeight="1">
      <c r="A152" s="53">
        <v>46337</v>
      </c>
      <c r="B152" s="51" t="s">
        <v>177</v>
      </c>
      <c r="C152" s="51" t="s">
        <v>59</v>
      </c>
      <c r="D152" s="51" t="s">
        <v>172</v>
      </c>
      <c r="E152" s="52"/>
      <c r="F152" s="64">
        <v>34.450000000000003</v>
      </c>
    </row>
    <row r="153" spans="1:6" ht="20.100000000000001" customHeight="1">
      <c r="A153" s="53">
        <v>46338</v>
      </c>
      <c r="B153" s="51" t="s">
        <v>180</v>
      </c>
      <c r="C153" s="51" t="s">
        <v>59</v>
      </c>
      <c r="D153" s="51" t="s">
        <v>172</v>
      </c>
      <c r="E153" s="52"/>
      <c r="F153" s="64">
        <v>34.450000000000003</v>
      </c>
    </row>
    <row r="154" spans="1:6" ht="20.100000000000001" customHeight="1">
      <c r="A154" s="53">
        <v>46339</v>
      </c>
      <c r="B154" s="51" t="s">
        <v>183</v>
      </c>
      <c r="C154" s="51" t="s">
        <v>59</v>
      </c>
      <c r="D154" s="51" t="s">
        <v>172</v>
      </c>
      <c r="E154" s="52"/>
      <c r="F154" s="64">
        <v>34.450000000000003</v>
      </c>
    </row>
    <row r="155" spans="1:6" ht="20.100000000000001" hidden="1" customHeight="1">
      <c r="A155" s="56">
        <v>46340</v>
      </c>
      <c r="B155" s="55" t="s">
        <v>186</v>
      </c>
      <c r="C155" s="55" t="s">
        <v>59</v>
      </c>
      <c r="D155" s="55" t="s">
        <v>187</v>
      </c>
      <c r="E155" s="54"/>
      <c r="F155" s="60"/>
    </row>
    <row r="156" spans="1:6" ht="20.100000000000001" hidden="1" customHeight="1">
      <c r="A156" s="56">
        <v>46341</v>
      </c>
      <c r="B156" s="55" t="s">
        <v>189</v>
      </c>
      <c r="C156" s="55" t="s">
        <v>59</v>
      </c>
      <c r="D156" s="55" t="s">
        <v>187</v>
      </c>
      <c r="E156" s="54"/>
      <c r="F156" s="54"/>
    </row>
    <row r="157" spans="1:6" ht="20.100000000000001" customHeight="1">
      <c r="A157" s="53">
        <v>46342</v>
      </c>
      <c r="B157" s="51" t="s">
        <v>171</v>
      </c>
      <c r="C157" s="51" t="s">
        <v>60</v>
      </c>
      <c r="D157" s="51" t="s">
        <v>172</v>
      </c>
      <c r="E157" s="52"/>
      <c r="F157" s="64">
        <v>34.450000000000003</v>
      </c>
    </row>
    <row r="158" spans="1:6" ht="20.100000000000001" customHeight="1">
      <c r="A158" s="53">
        <v>46343</v>
      </c>
      <c r="B158" s="51" t="s">
        <v>174</v>
      </c>
      <c r="C158" s="51" t="s">
        <v>60</v>
      </c>
      <c r="D158" s="51" t="s">
        <v>172</v>
      </c>
      <c r="E158" s="52"/>
      <c r="F158" s="64">
        <v>34.450000000000003</v>
      </c>
    </row>
    <row r="159" spans="1:6" ht="20.100000000000001" customHeight="1">
      <c r="A159" s="53">
        <v>46344</v>
      </c>
      <c r="B159" s="51" t="s">
        <v>177</v>
      </c>
      <c r="C159" s="51" t="s">
        <v>60</v>
      </c>
      <c r="D159" s="51" t="s">
        <v>172</v>
      </c>
      <c r="E159" s="52"/>
      <c r="F159" s="64">
        <v>34.450000000000003</v>
      </c>
    </row>
    <row r="160" spans="1:6" ht="20.100000000000001" customHeight="1">
      <c r="A160" s="53">
        <v>46345</v>
      </c>
      <c r="B160" s="51" t="s">
        <v>180</v>
      </c>
      <c r="C160" s="51" t="s">
        <v>60</v>
      </c>
      <c r="D160" s="51" t="s">
        <v>172</v>
      </c>
      <c r="E160" s="52"/>
      <c r="F160" s="64">
        <v>34.450000000000003</v>
      </c>
    </row>
    <row r="161" spans="1:6" ht="20.100000000000001" customHeight="1">
      <c r="A161" s="53">
        <v>46346</v>
      </c>
      <c r="B161" s="51" t="s">
        <v>183</v>
      </c>
      <c r="C161" s="51" t="s">
        <v>60</v>
      </c>
      <c r="D161" s="51" t="s">
        <v>172</v>
      </c>
      <c r="E161" s="52"/>
      <c r="F161" s="64">
        <v>34.450000000000003</v>
      </c>
    </row>
    <row r="162" spans="1:6" ht="20.100000000000001" hidden="1" customHeight="1">
      <c r="A162" s="56">
        <v>46347</v>
      </c>
      <c r="B162" s="55" t="s">
        <v>186</v>
      </c>
      <c r="C162" s="55" t="s">
        <v>60</v>
      </c>
      <c r="D162" s="55" t="s">
        <v>187</v>
      </c>
      <c r="E162" s="54"/>
      <c r="F162" s="60"/>
    </row>
    <row r="163" spans="1:6" ht="20.100000000000001" hidden="1" customHeight="1">
      <c r="A163" s="56">
        <v>46348</v>
      </c>
      <c r="B163" s="55" t="s">
        <v>189</v>
      </c>
      <c r="C163" s="55" t="s">
        <v>60</v>
      </c>
      <c r="D163" s="55" t="s">
        <v>187</v>
      </c>
      <c r="E163" s="54"/>
      <c r="F163" s="54"/>
    </row>
    <row r="164" spans="1:6" ht="20.100000000000001" customHeight="1">
      <c r="A164" s="53">
        <v>46349</v>
      </c>
      <c r="B164" s="51" t="s">
        <v>171</v>
      </c>
      <c r="C164" s="51" t="s">
        <v>61</v>
      </c>
      <c r="D164" s="51" t="s">
        <v>172</v>
      </c>
      <c r="E164" s="52"/>
      <c r="F164" s="64">
        <v>34.450000000000003</v>
      </c>
    </row>
    <row r="165" spans="1:6" ht="20.100000000000001" customHeight="1">
      <c r="A165" s="53">
        <v>46350</v>
      </c>
      <c r="B165" s="51" t="s">
        <v>174</v>
      </c>
      <c r="C165" s="51" t="s">
        <v>61</v>
      </c>
      <c r="D165" s="51" t="s">
        <v>172</v>
      </c>
      <c r="E165" s="52"/>
      <c r="F165" s="64">
        <v>34.450000000000003</v>
      </c>
    </row>
    <row r="166" spans="1:6" ht="20.100000000000001" customHeight="1">
      <c r="A166" s="53">
        <v>46351</v>
      </c>
      <c r="B166" s="51" t="s">
        <v>177</v>
      </c>
      <c r="C166" s="51" t="s">
        <v>61</v>
      </c>
      <c r="D166" s="51" t="s">
        <v>172</v>
      </c>
      <c r="E166" s="52"/>
      <c r="F166" s="64">
        <v>34.450000000000003</v>
      </c>
    </row>
    <row r="167" spans="1:6" ht="20.100000000000001" customHeight="1">
      <c r="A167" s="53">
        <v>46352</v>
      </c>
      <c r="B167" s="51" t="s">
        <v>180</v>
      </c>
      <c r="C167" s="51" t="s">
        <v>61</v>
      </c>
      <c r="D167" s="51" t="s">
        <v>172</v>
      </c>
      <c r="E167" s="52"/>
      <c r="F167" s="64">
        <v>34.450000000000003</v>
      </c>
    </row>
    <row r="168" spans="1:6" ht="20.100000000000001" customHeight="1">
      <c r="A168" s="53">
        <v>46353</v>
      </c>
      <c r="B168" s="51" t="s">
        <v>183</v>
      </c>
      <c r="C168" s="51" t="s">
        <v>61</v>
      </c>
      <c r="D168" s="51" t="s">
        <v>172</v>
      </c>
      <c r="E168" s="52"/>
      <c r="F168" s="64">
        <v>34.450000000000003</v>
      </c>
    </row>
    <row r="169" spans="1:6" ht="20.100000000000001" hidden="1" customHeight="1">
      <c r="A169" s="56">
        <v>46354</v>
      </c>
      <c r="B169" s="55" t="s">
        <v>186</v>
      </c>
      <c r="C169" s="55" t="s">
        <v>61</v>
      </c>
      <c r="D169" s="55" t="s">
        <v>187</v>
      </c>
      <c r="E169" s="54"/>
      <c r="F169" s="60"/>
    </row>
    <row r="170" spans="1:6" ht="20.100000000000001" hidden="1" customHeight="1">
      <c r="A170" s="56">
        <v>46355</v>
      </c>
      <c r="B170" s="55" t="s">
        <v>189</v>
      </c>
      <c r="C170" s="55" t="s">
        <v>61</v>
      </c>
      <c r="D170" s="55" t="s">
        <v>187</v>
      </c>
      <c r="E170" s="54"/>
      <c r="F170" s="54"/>
    </row>
    <row r="171" spans="1:6" ht="20.100000000000001" customHeight="1">
      <c r="A171" s="53">
        <v>46356</v>
      </c>
      <c r="B171" s="51" t="s">
        <v>171</v>
      </c>
      <c r="C171" s="51" t="s">
        <v>62</v>
      </c>
      <c r="D171" s="51" t="s">
        <v>172</v>
      </c>
      <c r="E171" s="52"/>
      <c r="F171" s="64">
        <v>34.450000000000003</v>
      </c>
    </row>
    <row r="172" spans="1:6" ht="20.100000000000001" customHeight="1">
      <c r="A172" s="53">
        <v>46357</v>
      </c>
      <c r="B172" s="51" t="s">
        <v>174</v>
      </c>
      <c r="C172" s="51" t="s">
        <v>62</v>
      </c>
      <c r="D172" s="51" t="s">
        <v>172</v>
      </c>
      <c r="E172" s="52"/>
      <c r="F172" s="64">
        <v>34.450000000000003</v>
      </c>
    </row>
    <row r="173" spans="1:6" ht="20.100000000000001" customHeight="1">
      <c r="A173" s="53">
        <v>46358</v>
      </c>
      <c r="B173" s="51" t="s">
        <v>177</v>
      </c>
      <c r="C173" s="51" t="s">
        <v>62</v>
      </c>
      <c r="D173" s="51" t="s">
        <v>172</v>
      </c>
      <c r="E173" s="52"/>
      <c r="F173" s="64">
        <v>34.450000000000003</v>
      </c>
    </row>
    <row r="174" spans="1:6" ht="20.100000000000001" customHeight="1">
      <c r="A174" s="53">
        <v>46359</v>
      </c>
      <c r="B174" s="51" t="s">
        <v>180</v>
      </c>
      <c r="C174" s="51" t="s">
        <v>62</v>
      </c>
      <c r="D174" s="51" t="s">
        <v>172</v>
      </c>
      <c r="E174" s="52"/>
      <c r="F174" s="64">
        <v>34.450000000000003</v>
      </c>
    </row>
    <row r="175" spans="1:6" ht="20.100000000000001" customHeight="1">
      <c r="A175" s="53">
        <v>46360</v>
      </c>
      <c r="B175" s="51" t="s">
        <v>183</v>
      </c>
      <c r="C175" s="51" t="s">
        <v>62</v>
      </c>
      <c r="D175" s="51" t="s">
        <v>172</v>
      </c>
      <c r="E175" s="52"/>
      <c r="F175" s="64">
        <v>34.450000000000003</v>
      </c>
    </row>
    <row r="176" spans="1:6" ht="20.100000000000001" hidden="1" customHeight="1">
      <c r="A176" s="56">
        <v>46361</v>
      </c>
      <c r="B176" s="55" t="s">
        <v>186</v>
      </c>
      <c r="C176" s="55" t="s">
        <v>62</v>
      </c>
      <c r="D176" s="55" t="s">
        <v>187</v>
      </c>
      <c r="E176" s="54"/>
      <c r="F176" s="60"/>
    </row>
    <row r="177" spans="1:6" ht="20.100000000000001" hidden="1" customHeight="1">
      <c r="A177" s="56">
        <v>46362</v>
      </c>
      <c r="B177" s="55" t="s">
        <v>189</v>
      </c>
      <c r="C177" s="55" t="s">
        <v>62</v>
      </c>
      <c r="D177" s="55" t="s">
        <v>187</v>
      </c>
      <c r="E177" s="54"/>
      <c r="F177" s="54"/>
    </row>
    <row r="178" spans="1:6" ht="20.100000000000001" customHeight="1">
      <c r="A178" s="53">
        <v>46363</v>
      </c>
      <c r="B178" s="51" t="s">
        <v>171</v>
      </c>
      <c r="C178" s="51" t="s">
        <v>63</v>
      </c>
      <c r="D178" s="51" t="s">
        <v>172</v>
      </c>
      <c r="E178" s="52"/>
      <c r="F178" s="64">
        <v>34.450000000000003</v>
      </c>
    </row>
    <row r="179" spans="1:6" ht="20.100000000000001" hidden="1" customHeight="1">
      <c r="A179" s="59">
        <v>46364</v>
      </c>
      <c r="B179" s="58" t="s">
        <v>174</v>
      </c>
      <c r="C179" s="58" t="s">
        <v>63</v>
      </c>
      <c r="D179" s="58" t="s">
        <v>212</v>
      </c>
      <c r="E179" s="57" t="s">
        <v>216</v>
      </c>
      <c r="F179" s="57"/>
    </row>
    <row r="180" spans="1:6" ht="20.100000000000001" customHeight="1">
      <c r="A180" s="53">
        <v>46365</v>
      </c>
      <c r="B180" s="51" t="s">
        <v>177</v>
      </c>
      <c r="C180" s="51" t="s">
        <v>63</v>
      </c>
      <c r="D180" s="51" t="s">
        <v>172</v>
      </c>
      <c r="E180" s="52"/>
      <c r="F180" s="64">
        <v>34.450000000000003</v>
      </c>
    </row>
    <row r="181" spans="1:6" ht="20.100000000000001" customHeight="1">
      <c r="A181" s="53">
        <v>46366</v>
      </c>
      <c r="B181" s="51" t="s">
        <v>180</v>
      </c>
      <c r="C181" s="51" t="s">
        <v>63</v>
      </c>
      <c r="D181" s="51" t="s">
        <v>172</v>
      </c>
      <c r="E181" s="52"/>
      <c r="F181" s="64">
        <v>34.450000000000003</v>
      </c>
    </row>
    <row r="182" spans="1:6" ht="20.100000000000001" customHeight="1">
      <c r="A182" s="53">
        <v>46367</v>
      </c>
      <c r="B182" s="51" t="s">
        <v>183</v>
      </c>
      <c r="C182" s="51" t="s">
        <v>63</v>
      </c>
      <c r="D182" s="51" t="s">
        <v>172</v>
      </c>
      <c r="E182" s="52"/>
      <c r="F182" s="64">
        <v>34.450000000000003</v>
      </c>
    </row>
    <row r="183" spans="1:6" ht="20.100000000000001" hidden="1" customHeight="1">
      <c r="A183" s="56">
        <v>46368</v>
      </c>
      <c r="B183" s="55" t="s">
        <v>186</v>
      </c>
      <c r="C183" s="55" t="s">
        <v>63</v>
      </c>
      <c r="D183" s="55" t="s">
        <v>187</v>
      </c>
      <c r="E183" s="54"/>
      <c r="F183" s="60"/>
    </row>
    <row r="184" spans="1:6" ht="20.100000000000001" hidden="1" customHeight="1">
      <c r="A184" s="56">
        <v>46369</v>
      </c>
      <c r="B184" s="55" t="s">
        <v>189</v>
      </c>
      <c r="C184" s="55" t="s">
        <v>63</v>
      </c>
      <c r="D184" s="55" t="s">
        <v>187</v>
      </c>
      <c r="E184" s="54"/>
      <c r="F184" s="54"/>
    </row>
    <row r="185" spans="1:6" ht="20.100000000000001" customHeight="1">
      <c r="A185" s="53">
        <v>46370</v>
      </c>
      <c r="B185" s="51" t="s">
        <v>171</v>
      </c>
      <c r="C185" s="51" t="s">
        <v>64</v>
      </c>
      <c r="D185" s="51" t="s">
        <v>172</v>
      </c>
      <c r="E185" s="52"/>
      <c r="F185" s="64">
        <v>34.450000000000003</v>
      </c>
    </row>
    <row r="186" spans="1:6" ht="20.100000000000001" customHeight="1">
      <c r="A186" s="53">
        <v>46371</v>
      </c>
      <c r="B186" s="51" t="s">
        <v>174</v>
      </c>
      <c r="C186" s="51" t="s">
        <v>64</v>
      </c>
      <c r="D186" s="51" t="s">
        <v>172</v>
      </c>
      <c r="E186" s="52"/>
      <c r="F186" s="64">
        <v>34.450000000000003</v>
      </c>
    </row>
    <row r="187" spans="1:6" ht="20.100000000000001" customHeight="1">
      <c r="A187" s="53">
        <v>46372</v>
      </c>
      <c r="B187" s="51" t="s">
        <v>177</v>
      </c>
      <c r="C187" s="51" t="s">
        <v>64</v>
      </c>
      <c r="D187" s="51" t="s">
        <v>172</v>
      </c>
      <c r="E187" s="52"/>
      <c r="F187" s="64">
        <v>34.450000000000003</v>
      </c>
    </row>
    <row r="188" spans="1:6" ht="20.100000000000001" customHeight="1">
      <c r="A188" s="53">
        <v>46373</v>
      </c>
      <c r="B188" s="51" t="s">
        <v>180</v>
      </c>
      <c r="C188" s="51" t="s">
        <v>64</v>
      </c>
      <c r="D188" s="51" t="s">
        <v>172</v>
      </c>
      <c r="E188" s="52"/>
      <c r="F188" s="64">
        <v>34.450000000000003</v>
      </c>
    </row>
    <row r="189" spans="1:6" ht="20.100000000000001" customHeight="1">
      <c r="A189" s="53">
        <v>46374</v>
      </c>
      <c r="B189" s="51" t="s">
        <v>183</v>
      </c>
      <c r="C189" s="51" t="s">
        <v>64</v>
      </c>
      <c r="D189" s="51" t="s">
        <v>172</v>
      </c>
      <c r="E189" s="52"/>
      <c r="F189" s="64">
        <v>34.450000000000003</v>
      </c>
    </row>
    <row r="190" spans="1:6" ht="20.100000000000001" hidden="1" customHeight="1">
      <c r="A190" s="56">
        <v>46375</v>
      </c>
      <c r="B190" s="55" t="s">
        <v>186</v>
      </c>
      <c r="C190" s="55" t="s">
        <v>64</v>
      </c>
      <c r="D190" s="55" t="s">
        <v>187</v>
      </c>
      <c r="E190" s="54"/>
      <c r="F190" s="60"/>
    </row>
    <row r="191" spans="1:6" ht="20.100000000000001" hidden="1" customHeight="1">
      <c r="A191" s="56">
        <v>46376</v>
      </c>
      <c r="B191" s="55" t="s">
        <v>189</v>
      </c>
      <c r="C191" s="55" t="s">
        <v>64</v>
      </c>
      <c r="D191" s="55" t="s">
        <v>187</v>
      </c>
      <c r="E191" s="54"/>
      <c r="F191" s="54"/>
    </row>
    <row r="192" spans="1:6" ht="20.100000000000001" customHeight="1">
      <c r="A192" s="53">
        <v>46377</v>
      </c>
      <c r="B192" s="51" t="s">
        <v>171</v>
      </c>
      <c r="C192" s="51" t="s">
        <v>65</v>
      </c>
      <c r="D192" s="51" t="s">
        <v>172</v>
      </c>
      <c r="E192" s="52"/>
      <c r="F192" s="64">
        <v>34.450000000000003</v>
      </c>
    </row>
    <row r="193" spans="1:6" ht="20.100000000000001" customHeight="1">
      <c r="A193" s="53">
        <v>46378</v>
      </c>
      <c r="B193" s="51" t="s">
        <v>174</v>
      </c>
      <c r="C193" s="51" t="s">
        <v>65</v>
      </c>
      <c r="D193" s="51" t="s">
        <v>172</v>
      </c>
      <c r="E193" s="52"/>
      <c r="F193" s="64">
        <v>34.450000000000003</v>
      </c>
    </row>
    <row r="194" spans="1:6" ht="20.100000000000001" customHeight="1">
      <c r="A194" s="53">
        <v>46379</v>
      </c>
      <c r="B194" s="51" t="s">
        <v>177</v>
      </c>
      <c r="C194" s="51" t="s">
        <v>65</v>
      </c>
      <c r="D194" s="51" t="s">
        <v>172</v>
      </c>
      <c r="E194" s="52"/>
      <c r="F194" s="64">
        <v>34.450000000000003</v>
      </c>
    </row>
    <row r="195" spans="1:6" ht="20.100000000000001" customHeight="1">
      <c r="A195" s="53">
        <v>46380</v>
      </c>
      <c r="B195" s="51" t="s">
        <v>180</v>
      </c>
      <c r="C195" s="51" t="s">
        <v>65</v>
      </c>
      <c r="D195" s="51" t="s">
        <v>172</v>
      </c>
      <c r="E195" s="52"/>
      <c r="F195" s="64">
        <v>34.450000000000003</v>
      </c>
    </row>
    <row r="196" spans="1:6" ht="20.100000000000001" hidden="1" customHeight="1">
      <c r="A196" s="59">
        <v>46381</v>
      </c>
      <c r="B196" s="58" t="s">
        <v>183</v>
      </c>
      <c r="C196" s="58" t="s">
        <v>65</v>
      </c>
      <c r="D196" s="58" t="s">
        <v>212</v>
      </c>
      <c r="E196" s="57" t="s">
        <v>217</v>
      </c>
      <c r="F196" s="57"/>
    </row>
    <row r="197" spans="1:6" ht="20.100000000000001" hidden="1" customHeight="1">
      <c r="A197" s="59">
        <v>46382</v>
      </c>
      <c r="B197" s="58" t="s">
        <v>186</v>
      </c>
      <c r="C197" s="58" t="s">
        <v>65</v>
      </c>
      <c r="D197" s="58" t="s">
        <v>212</v>
      </c>
      <c r="E197" s="57" t="s">
        <v>218</v>
      </c>
      <c r="F197" s="57"/>
    </row>
    <row r="198" spans="1:6" ht="20.100000000000001" hidden="1" customHeight="1">
      <c r="A198" s="56">
        <v>46383</v>
      </c>
      <c r="B198" s="55" t="s">
        <v>189</v>
      </c>
      <c r="C198" s="55" t="s">
        <v>65</v>
      </c>
      <c r="D198" s="55" t="s">
        <v>187</v>
      </c>
      <c r="E198" s="54"/>
      <c r="F198" s="54"/>
    </row>
    <row r="199" spans="1:6" ht="20.100000000000001" customHeight="1">
      <c r="A199" s="53">
        <v>46384</v>
      </c>
      <c r="B199" s="51" t="s">
        <v>171</v>
      </c>
      <c r="C199" s="51" t="s">
        <v>66</v>
      </c>
      <c r="D199" s="51" t="s">
        <v>172</v>
      </c>
      <c r="E199" s="52"/>
      <c r="F199" s="64">
        <v>34.450000000000003</v>
      </c>
    </row>
    <row r="200" spans="1:6" ht="20.100000000000001" customHeight="1">
      <c r="A200" s="53">
        <v>46385</v>
      </c>
      <c r="B200" s="51" t="s">
        <v>174</v>
      </c>
      <c r="C200" s="51" t="s">
        <v>66</v>
      </c>
      <c r="D200" s="51" t="s">
        <v>172</v>
      </c>
      <c r="E200" s="52"/>
      <c r="F200" s="64">
        <v>34.450000000000003</v>
      </c>
    </row>
    <row r="201" spans="1:6" ht="20.100000000000001" customHeight="1">
      <c r="A201" s="53">
        <v>46386</v>
      </c>
      <c r="B201" s="51" t="s">
        <v>177</v>
      </c>
      <c r="C201" s="51" t="s">
        <v>66</v>
      </c>
      <c r="D201" s="51" t="s">
        <v>172</v>
      </c>
      <c r="E201" s="52"/>
      <c r="F201" s="64">
        <v>34.450000000000003</v>
      </c>
    </row>
    <row r="202" spans="1:6" ht="20.100000000000001" customHeight="1">
      <c r="A202" s="53">
        <v>46387</v>
      </c>
      <c r="B202" s="51" t="s">
        <v>180</v>
      </c>
      <c r="C202" s="51" t="s">
        <v>66</v>
      </c>
      <c r="D202" s="51" t="s">
        <v>172</v>
      </c>
      <c r="E202" s="52"/>
      <c r="F202" s="64">
        <v>34.450000000000003</v>
      </c>
    </row>
  </sheetData>
  <autoFilter ref="A2:F202" xr:uid="{AA1A5B06-D0B5-B24A-BD8A-2E3EE69C0B20}">
    <filterColumn colId="5">
      <customFilters>
        <customFilter operator="notEqual" val=" "/>
      </customFilters>
    </filterColumn>
  </autoFilter>
  <pageMargins left="0.75" right="0.75" top="1" bottom="1" header="0.5" footer="0.5"/>
  <headerFooter>
    <oddFooter>&amp;C_x000D_&amp;1#&amp;"Aptos"&amp;10&amp;K000000 Italgas S.p.A - Informazioni Interne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B3DB23C273BE24686923D35ACB09C6A" ma:contentTypeVersion="22" ma:contentTypeDescription="Creare un nuovo documento." ma:contentTypeScope="" ma:versionID="341a4e0625070e3b6758a91dabcc4256">
  <xsd:schema xmlns:xsd="http://www.w3.org/2001/XMLSchema" xmlns:xs="http://www.w3.org/2001/XMLSchema" xmlns:p="http://schemas.microsoft.com/office/2006/metadata/properties" xmlns:ns1="http://schemas.microsoft.com/sharepoint/v3" xmlns:ns2="897c3329-59cd-4acc-8ca1-3ae51500d239" xmlns:ns3="6eb89353-829c-493d-9641-976eaa03020a" targetNamespace="http://schemas.microsoft.com/office/2006/metadata/properties" ma:root="true" ma:fieldsID="9c61aeaec92df2f7f9895f6da105abcd" ns1:_="" ns2:_="" ns3:_="">
    <xsd:import namespace="http://schemas.microsoft.com/sharepoint/v3"/>
    <xsd:import namespace="897c3329-59cd-4acc-8ca1-3ae51500d239"/>
    <xsd:import namespace="6eb89353-829c-493d-9641-976eaa03020a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_Flow_SignoffStatu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Proprietà criteri di conformità unificati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Azione interfaccia utente criteri di conformità unificati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7c3329-59cd-4acc-8ca1-3ae51500d23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fb68de1-06ae-44b7-ae73-5a69be48a2ef}" ma:internalName="TaxCatchAll" ma:showField="CatchAllData" ma:web="897c3329-59cd-4acc-8ca1-3ae51500d23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b89353-829c-493d-9641-976eaa03020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Tag immagine" ma:readOnly="false" ma:fieldId="{5cf76f15-5ced-4ddc-b409-7134ff3c332f}" ma:taxonomyMulti="true" ma:sspId="10770d51-caa9-4e39-848a-794250d26b8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7" nillable="true" ma:displayName="Stato consenso" ma:internalName="Stato_x0020_consenso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9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eb89353-829c-493d-9641-976eaa03020a">
      <Terms xmlns="http://schemas.microsoft.com/office/infopath/2007/PartnerControls"/>
    </lcf76f155ced4ddcb4097134ff3c332f>
    <_ip_UnifiedCompliancePolicyUIAction xmlns="http://schemas.microsoft.com/sharepoint/v3" xsi:nil="true"/>
    <_Flow_SignoffStatus xmlns="6eb89353-829c-493d-9641-976eaa03020a" xsi:nil="true"/>
    <_ip_UnifiedCompliancePolicyProperties xmlns="http://schemas.microsoft.com/sharepoint/v3" xsi:nil="true"/>
    <TaxCatchAll xmlns="897c3329-59cd-4acc-8ca1-3ae51500d23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5298928-8556-442B-8B9F-B53EC6F54BCB}"/>
</file>

<file path=customXml/itemProps2.xml><?xml version="1.0" encoding="utf-8"?>
<ds:datastoreItem xmlns:ds="http://schemas.openxmlformats.org/officeDocument/2006/customXml" ds:itemID="{ED58EF86-E000-42F8-BA45-63CC8EB57238}"/>
</file>

<file path=customXml/itemProps3.xml><?xml version="1.0" encoding="utf-8"?>
<ds:datastoreItem xmlns:ds="http://schemas.openxmlformats.org/officeDocument/2006/customXml" ds:itemID="{95EB7A87-7059-43F3-8D18-A6B3E6503BB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Vitanza, Salvatore</dc:creator>
  <cp:keywords/>
  <dc:description/>
  <cp:lastModifiedBy>Hoxha, Adem</cp:lastModifiedBy>
  <cp:revision/>
  <dcterms:created xsi:type="dcterms:W3CDTF">2026-06-10T06:08:02Z</dcterms:created>
  <dcterms:modified xsi:type="dcterms:W3CDTF">2026-07-29T14:19:33Z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aa12864-f8b0-4cd9-96ef-f0ab13b539b4_Enabled">
    <vt:lpwstr>true</vt:lpwstr>
  </property>
  <property fmtid="{D5CDD505-2E9C-101B-9397-08002B2CF9AE}" pid="3" name="MSIP_Label_aaa12864-f8b0-4cd9-96ef-f0ab13b539b4_SetDate">
    <vt:lpwstr>2026-06-10T06:11:24Z</vt:lpwstr>
  </property>
  <property fmtid="{D5CDD505-2E9C-101B-9397-08002B2CF9AE}" pid="4" name="MSIP_Label_aaa12864-f8b0-4cd9-96ef-f0ab13b539b4_Method">
    <vt:lpwstr>Privileged</vt:lpwstr>
  </property>
  <property fmtid="{D5CDD505-2E9C-101B-9397-08002B2CF9AE}" pid="5" name="MSIP_Label_aaa12864-f8b0-4cd9-96ef-f0ab13b539b4_Name">
    <vt:lpwstr>Interno – con Visual Marking</vt:lpwstr>
  </property>
  <property fmtid="{D5CDD505-2E9C-101B-9397-08002B2CF9AE}" pid="6" name="MSIP_Label_aaa12864-f8b0-4cd9-96ef-f0ab13b539b4_SiteId">
    <vt:lpwstr>a4d618cc-cf96-4e63-9d38-9185499aae90</vt:lpwstr>
  </property>
  <property fmtid="{D5CDD505-2E9C-101B-9397-08002B2CF9AE}" pid="7" name="MSIP_Label_aaa12864-f8b0-4cd9-96ef-f0ab13b539b4_ActionId">
    <vt:lpwstr>a13f0331-8d86-4d37-bfae-aaba219a6057</vt:lpwstr>
  </property>
  <property fmtid="{D5CDD505-2E9C-101B-9397-08002B2CF9AE}" pid="8" name="MSIP_Label_aaa12864-f8b0-4cd9-96ef-f0ab13b539b4_ContentBits">
    <vt:lpwstr>3</vt:lpwstr>
  </property>
  <property fmtid="{D5CDD505-2E9C-101B-9397-08002B2CF9AE}" pid="9" name="MSIP_Label_aaa12864-f8b0-4cd9-96ef-f0ab13b539b4_Tag">
    <vt:lpwstr>50, 0, 1, 1</vt:lpwstr>
  </property>
  <property fmtid="{D5CDD505-2E9C-101B-9397-08002B2CF9AE}" pid="10" name="ContentTypeId">
    <vt:lpwstr>0x0101000B3DB23C273BE24686923D35ACB09C6A</vt:lpwstr>
  </property>
  <property fmtid="{D5CDD505-2E9C-101B-9397-08002B2CF9AE}" pid="11" name="MediaServiceImageTags">
    <vt:lpwstr/>
  </property>
</Properties>
</file>